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b0f649487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d22691b7be04418"/>
    <x:sheet xmlns:r="http://schemas.openxmlformats.org/officeDocument/2006/relationships" name="Daily Summary" sheetId="2" r:id="R4e36514936494436"/>
    <x:sheet xmlns:r="http://schemas.openxmlformats.org/officeDocument/2006/relationships" name="Action Log" sheetId="3" r:id="R7044a5f8523b47de"/>
    <x:sheet xmlns:r="http://schemas.openxmlformats.org/officeDocument/2006/relationships" name="Codebook" sheetId="4" r:id="Ra3313bb585834ba4"/>
    <x:sheet xmlns:r="http://schemas.openxmlformats.org/officeDocument/2006/relationships" name="Metrics" sheetId="5" r:id="R5e07725c3f91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%"/>
    <x:numFmt numFmtId="203" formatCode="0.00"/>
    <x:numFmt numFmtId="204" formatCode="0.0"/>
  </x:numFmts>
  <x:fonts count="8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20"/>
      <x:color rgb="FFFFFFFF"/>
      <x:name val="Arial"/>
    </x:font>
    <x:font>
      <x:b/>
      <x:sz val="10"/>
      <x:color rgb="FF183B56"/>
      <x:name val="Arial"/>
    </x:font>
    <x:font>
      <x:b/>
      <x:sz val="18"/>
      <x:color rgb="FF24557A"/>
      <x:name val="Arial"/>
    </x:font>
    <x:font>
      <x:sz val="9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557A"/>
      </x:patternFill>
    </x:fill>
    <x:fill>
      <x:patternFill patternType="solid">
        <x:fgColor rgb="FF183B56"/>
      </x:patternFill>
    </x:fill>
    <x:fill>
      <x:patternFill patternType="solid">
        <x:fgColor rgb="FFDCEAF3"/>
      </x:patternFill>
    </x:fill>
    <x:fill>
      <x:patternFill patternType="solid">
        <x:fgColor rgb="FFF3F4F6"/>
      </x:patternFill>
    </x:fill>
  </x:fills>
  <x:borders count="4">
    <x:border/>
    <x:border>
      <x:left style="thin">
        <x:color rgb="FF1F3C52"/>
      </x:left>
      <x:top style="thin">
        <x:color rgb="FF1F3C52"/>
      </x:top>
      <x:bottom style="thin">
        <x:color rgb="FF1F3C52"/>
      </x:bottom>
    </x:border>
    <x:border>
      <x:top style="thin">
        <x:color rgb="FF1F3C52"/>
      </x:top>
      <x:bottom style="thin">
        <x:color rgb="FF1F3C52"/>
      </x:bottom>
    </x:border>
    <x:border>
      <x:right style="thin">
        <x:color rgb="FF1F3C52"/>
      </x:right>
      <x:top style="thin">
        <x:color rgb="FF1F3C52"/>
      </x:top>
      <x:bottom style="thin">
        <x:color rgb="FF1F3C52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0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0" fillId="2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ee602c59a47b5" /><Relationship Type="http://schemas.openxmlformats.org/officeDocument/2006/relationships/theme" Target="/xl/theme/theme1.xml" Id="R96e90146f5764650" /><Relationship Type="http://schemas.openxmlformats.org/officeDocument/2006/relationships/sharedStrings" Target="/xl/sharedStrings.xml" Id="R52784fe0c58f42bc" /><Relationship Type="http://schemas.openxmlformats.org/officeDocument/2006/relationships/worksheet" Target="/xl/worksheets/sheet1.xml" Id="Red22691b7be04418" /><Relationship Type="http://schemas.openxmlformats.org/officeDocument/2006/relationships/worksheet" Target="/xl/worksheets/sheet2.xml" Id="R4e36514936494436" /><Relationship Type="http://schemas.openxmlformats.org/officeDocument/2006/relationships/worksheet" Target="/xl/worksheets/sheet3.xml" Id="R7044a5f8523b47de" /><Relationship Type="http://schemas.openxmlformats.org/officeDocument/2006/relationships/worksheet" Target="/xl/worksheets/sheet4.xml" Id="Ra3313bb585834ba4" /><Relationship Type="http://schemas.openxmlformats.org/officeDocument/2006/relationships/worksheet" Target="/xl/worksheets/sheet5.xml" Id="R5e07725c3f9143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38486620054d0a" /><Relationship Type="http://schemas.openxmlformats.org/officeDocument/2006/relationships/chart" Target="/xl/drawings/charts/chart2.xml" Id="R998c9dbe675844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드롭 사유 비중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비중</c:v>
          </c:tx>
          <c:cat>
            <c:strRef>
              <c:f>'Dashboard'!$J$3:$J$8</c:f>
              <c:strCache>
                <c:ptCount val="0"/>
              </c:strCache>
            </c:strRef>
          </c:cat>
          <c:val>
            <c:numRef>
              <c:f>'Dashboard'!$K$3:$K$8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</a:t>
                </a:r>
              </a:p>
            </c:rich>
          </c:tx>
          <c:overlay val="0"/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작업자별 전체 드롭률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드롭률</c:v>
          </c:tx>
          <c:cat>
            <c:strRef>
              <c:f>'Dashboard'!$J$12:$J$15</c:f>
              <c:strCache>
                <c:ptCount val="0"/>
              </c:strCache>
            </c:strRef>
          </c:cat>
          <c:val>
            <c:numRef>
              <c:f>'Dashboard'!$K$12:$K$15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</a:t>
                </a:r>
              </a:p>
            </c:rich>
          </c:tx>
          <c:overlay val="0"/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38486620054d0a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8c9dbe675844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SummaryTable" displayName="DailySummaryTable" ref="A1:R13" headerRowCount="1" totalsRowCount="0" totalsRowShown="0">
  <x:autoFilter ref="A1:R13"/>
  <x:tableColumns count="18">
    <x:tableColumn id="1" name="work_date"/>
    <x:tableColumn id="2" name="worker_id"/>
    <x:tableColumn id="3" name="shift"/>
    <x:tableColumn id="4" name="reviewed_images"/>
    <x:tableColumn id="5" name="accepted_images"/>
    <x:tableColumn id="6" name="dropped_images"/>
    <x:tableColumn id="7" name="drop_rate"/>
    <x:tableColumn id="8" name="folder_structure_drop"/>
    <x:tableColumn id="9" name="temporal_annotation_drop"/>
    <x:tableColumn id="10" name="duplicate_corrupt_drop"/>
    <x:tableColumn id="11" name="low_visibility_drop"/>
    <x:tableColumn id="12" name="image_content_ambiguity_drop"/>
    <x:tableColumn id="13" name="other_manual_drop"/>
    <x:tableColumn id="14" name="avg_qc_sec_per_image"/>
    <x:tableColumn id="15" name="environment_scope"/>
    <x:tableColumn id="16" name="distance_scope"/>
    <x:tableColumn id="17" name="primary_issue_category"/>
    <x:tableColumn id="18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onLogTable" displayName="ActionLogTable" ref="A1:Q49" headerRowCount="1" totalsRowCount="0" totalsRowShown="0">
  <x:autoFilter ref="A1:Q49"/>
  <x:tableColumns count="17">
    <x:tableColumn id="1" name="event_ts"/>
    <x:tableColumn id="2" name="worker_id"/>
    <x:tableColumn id="3" name="batch_id"/>
    <x:tableColumn id="4" name="session_id"/>
    <x:tableColumn id="5" name="source_path"/>
    <x:tableColumn id="6" name="distance_bucket"/>
    <x:tableColumn id="7" name="environment_condition"/>
    <x:tableColumn id="8" name="batch_reviewed"/>
    <x:tableColumn id="9" name="batch_accepted"/>
    <x:tableColumn id="10" name="batch_dropped"/>
    <x:tableColumn id="11" name="main_drop_code"/>
    <x:tableColumn id="12" name="workflow_status"/>
    <x:tableColumn id="13" name="batch_disposition"/>
    <x:tableColumn id="14" name="avg_qc_sec"/>
    <x:tableColumn id="15" name="nas_input_path"/>
    <x:tableColumn id="16" name="nas_output_path"/>
    <x:tableColumn id="17" name="review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debookTable" displayName="CodebookTable" ref="A1:C8" headerRowCount="1" totalsRowCount="0" totalsRowShown="0">
  <x:autoFilter ref="A1:C8"/>
  <x:tableColumns count="3">
    <x:tableColumn id="1" name="drop_code"/>
    <x:tableColumn id="2" name="category"/>
    <x:tableColumn id="3" name="defin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" displayName="MetricsTable" ref="A1:D13" headerRowCount="1" totalsRowCount="0" totalsRowShown="0">
  <x:autoFilter ref="A1:D13"/>
  <x:tableColumns count="4">
    <x:tableColumn id="1" name="metric"/>
    <x:tableColumn id="2" name="value"/>
    <x:tableColumn id="3" name="unit"/>
    <x:tableColumn id="4" name="calcul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98c2c212254e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bbac9ccbee43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a9b1b987a448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9f634bb7c04c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212e2b98ec45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10" max="10" width="16" hidden="0" customWidth="1"/>
    <x:col min="11" max="11" width="16" hidden="0" customWidth="1"/>
  </x:cols>
  <x:sheetData>
    <x:row r="1">
      <x:c r="A1" s="15" t="str">
        <x:v>Synthetic Image QC Dashboard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  <x:c r="J2" s="3" t="str">
        <x:v>드롭 사유</x:v>
      </x:c>
      <x:c r="K2" s="3" t="str">
        <x:v>비중</x:v>
      </x:c>
    </x:row>
    <x:row r="3">
      <x:c r="J3" s="26" t="str">
        <x:v>폴더 구조</x:v>
      </x:c>
      <x:c r="K3" s="27" t="n">
        <x:f>'Metrics'!B8*100</x:f>
        <x:v>42.98292293551352</x:v>
      </x:c>
    </x:row>
    <x:row r="4">
      <x:c r="A4" s="21" t="str">
        <x:v>검수 이미지</x:v>
      </x:c>
      <x:c r="B4" s="21"/>
      <x:c r="C4" s="21" t="str">
        <x:v>승인 이미지</x:v>
      </x:c>
      <x:c r="D4" s="21"/>
      <x:c r="E4" s="21" t="str">
        <x:v>드롭 이미지</x:v>
      </x:c>
      <x:c r="F4" s="21"/>
      <x:c r="G4" s="21" t="str">
        <x:v>전체 드롭률</x:v>
      </x:c>
      <x:c r="H4" s="21"/>
      <x:c r="J4" s="26" t="str">
        <x:v>시계열 라벨</x:v>
      </x:c>
      <x:c r="K4" s="27" t="n">
        <x:f>'Metrics'!B9*100</x:f>
        <x:v>30.985438537080935</x:v>
      </x:c>
    </x:row>
    <x:row r="5">
      <x:c r="A5" s="23" t="n">
        <x:f>'Metrics'!B2</x:f>
        <x:v>95510</x:v>
      </x:c>
      <x:c r="B5" s="23"/>
      <x:c r="C5" s="23" t="n">
        <x:f>'Metrics'!B3</x:f>
        <x:v>54168</x:v>
      </x:c>
      <x:c r="D5" s="23"/>
      <x:c r="E5" s="23" t="n">
        <x:f>'Metrics'!B4</x:f>
        <x:v>41342</x:v>
      </x:c>
      <x:c r="F5" s="23"/>
      <x:c r="G5" s="24" t="n">
        <x:f>'Metrics'!B5</x:f>
        <x:v>0.4328551984085436</x:v>
      </x:c>
      <x:c r="H5" s="24"/>
      <x:c r="J5" s="26" t="str">
        <x:v>중복·손상</x:v>
      </x:c>
      <x:c r="K5" s="27" t="n">
        <x:f>'Metrics'!B10*100</x:f>
        <x:v>8.983600212858594</x:v>
      </x:c>
    </x:row>
    <x:row r="6">
      <x:c r="A6" s="23"/>
      <x:c r="B6" s="23"/>
      <x:c r="C6" s="23"/>
      <x:c r="D6" s="23"/>
      <x:c r="E6" s="23"/>
      <x:c r="F6" s="23"/>
      <x:c r="G6" s="24"/>
      <x:c r="H6" s="24"/>
      <x:c r="J6" s="26" t="str">
        <x:v>저시인성</x:v>
      </x:c>
      <x:c r="K6" s="27" t="n">
        <x:f>'Metrics'!B11*100</x:f>
        <x:v>7.982197281215229</x:v>
      </x:c>
    </x:row>
    <x:row r="7">
      <x:c r="J7" s="26" t="str">
        <x:v>콘텐츠 모호성</x:v>
      </x:c>
      <x:c r="K7" s="27" t="n">
        <x:f>'Metrics'!B12*100</x:f>
        <x:v>3.079193072420299</x:v>
      </x:c>
    </x:row>
    <x:row r="8">
      <x:c r="J8" s="26" t="str">
        <x:v>기타 수동</x:v>
      </x:c>
      <x:c r="K8" s="27" t="n">
        <x:f>'Metrics'!B13*100</x:f>
        <x:v>5.986647960911422</x:v>
      </x:c>
    </x:row>
    <x:row r="11">
      <x:c r="J11" s="3" t="str">
        <x:v>작업자</x:v>
      </x:c>
      <x:c r="K11" s="3" t="str">
        <x:v>드롭률</x:v>
      </x:c>
    </x:row>
    <x:row r="12">
      <x:c r="J12" t="str">
        <x:v>QC001</x:v>
      </x:c>
      <x:c r="K12" s="25" t="n">
        <x:f>SUMIF('Daily Summary'!$B$2:$B$13,J12,'Daily Summary'!$F$2:$F$13)/SUMIF('Daily Summary'!$B$2:$B$13,J12,'Daily Summary'!$D$2:$D$13)*100</x:f>
        <x:v>39.53412311941275</x:v>
      </x:c>
    </x:row>
    <x:row r="13">
      <x:c r="J13" t="str">
        <x:v>QC002</x:v>
      </x:c>
      <x:c r="K13" s="25" t="n">
        <x:f>SUMIF('Daily Summary'!$B$2:$B$13,J13,'Daily Summary'!$F$2:$F$13)/SUMIF('Daily Summary'!$B$2:$B$13,J13,'Daily Summary'!$D$2:$D$13)*100</x:f>
        <x:v>43.852205427384426</x:v>
      </x:c>
    </x:row>
    <x:row r="14">
      <x:c r="J14" t="str">
        <x:v>QC003</x:v>
      </x:c>
      <x:c r="K14" s="25" t="n">
        <x:f>SUMIF('Daily Summary'!$B$2:$B$13,J14,'Daily Summary'!$F$2:$F$13)/SUMIF('Daily Summary'!$B$2:$B$13,J14,'Daily Summary'!$D$2:$D$13)*100</x:f>
        <x:v>45.22606323509682</x:v>
      </x:c>
    </x:row>
    <x:row r="15">
      <x:c r="J15" t="str">
        <x:v>QC004</x:v>
      </x:c>
      <x:c r="K15" s="25" t="n">
        <x:f>SUMIF('Daily Summary'!$B$2:$B$13,J15,'Daily Summary'!$F$2:$F$13)/SUMIF('Daily Summary'!$B$2:$B$13,J15,'Daily Summary'!$D$2:$D$13)*100</x:f>
        <x:v>45.32927624429472</x:v>
      </x:c>
    </x:row>
    <x:row r="40">
      <x:c r="A40" s="32" t="str">
        <x:v>모든 데이터는 포트폴리오용 합성 데이터이며 실제 기관·사업·운영 환경을 나타내지 않습니다.</x:v>
      </x:c>
      <x:c r="B40" s="32"/>
      <x:c r="C40" s="32"/>
      <x:c r="D40" s="32"/>
      <x:c r="E40" s="32"/>
      <x:c r="F40" s="32"/>
      <x:c r="G40" s="32"/>
      <x:c r="H40" s="32"/>
    </x:row>
    <x:row r="41">
      <x:c r="A41" s="32"/>
      <x:c r="B41" s="32"/>
      <x:c r="C41" s="32"/>
      <x:c r="D41" s="32"/>
      <x:c r="E41" s="32"/>
      <x:c r="F41" s="32"/>
      <x:c r="G41" s="32"/>
      <x:c r="H41" s="32"/>
    </x:row>
    <x:row r="42">
      <x:c r="A42" s="32"/>
      <x:c r="B42" s="32"/>
      <x:c r="C42" s="32"/>
      <x:c r="D42" s="32"/>
      <x:c r="E42" s="32"/>
      <x:c r="F42" s="32"/>
      <x:c r="G42" s="32"/>
      <x:c r="H42" s="32"/>
    </x:row>
  </x:sheetData>
  <x:mergeCells>
    <x:mergeCell ref="A1:H2"/>
    <x:mergeCell ref="A4:B4"/>
    <x:mergeCell ref="C4:D4"/>
    <x:mergeCell ref="E4:F4"/>
    <x:mergeCell ref="G4:H4"/>
    <x:mergeCell ref="A5:B6"/>
    <x:mergeCell ref="C5:D6"/>
    <x:mergeCell ref="E5:F6"/>
    <x:mergeCell ref="G5:H6"/>
    <x:mergeCell ref="A40:H42"/>
  </x:mergeCells>
  <x:pageMargins left="0.7" right="0.7" top="0.75" bottom="0.75" header="0.3" footer="0.3"/>
  <x:drawing xmlns:r="http://schemas.openxmlformats.org/officeDocument/2006/relationships" r:id="Rdc98c2c212254eb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9" hidden="0" customWidth="1"/>
    <x:col min="3" max="3" width="7.670000076293945" hidden="0" customWidth="1"/>
    <x:col min="4" max="4" width="13.779999732971191" hidden="0" customWidth="1"/>
    <x:col min="5" max="5" width="13.890000343322754" hidden="0" customWidth="1"/>
    <x:col min="6" max="6" width="13.4399995803833" hidden="0" customWidth="1"/>
    <x:col min="7" max="7" width="8.890000343322754" hidden="0" customWidth="1"/>
    <x:col min="8" max="8" width="16.670000076293945" hidden="0" customWidth="1"/>
    <x:col min="9" max="9" width="19.670000076293945" hidden="0" customWidth="1"/>
    <x:col min="10" max="10" width="17.670000076293945" hidden="0" customWidth="1"/>
    <x:col min="11" max="11" width="14.779999732971191" hidden="0" customWidth="1"/>
    <x:col min="12" max="12" width="22.889999389648438" hidden="0" customWidth="1"/>
    <x:col min="13" max="13" width="15.220000267028809" hidden="0" customWidth="1"/>
    <x:col min="14" max="14" width="17.670000076293945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28" customHeight="1">
      <x:c r="A1" s="5" t="str">
        <x:v>work_date</x:v>
      </x:c>
      <x:c r="B1" s="6" t="str">
        <x:v>worker_id</x:v>
      </x:c>
      <x:c r="C1" s="6" t="str">
        <x:v>shift</x:v>
      </x:c>
      <x:c r="D1" s="6" t="str">
        <x:v>reviewed_images</x:v>
      </x:c>
      <x:c r="E1" s="6" t="str">
        <x:v>accepted_images</x:v>
      </x:c>
      <x:c r="F1" s="6" t="str">
        <x:v>dropped_images</x:v>
      </x:c>
      <x:c r="G1" s="6" t="str">
        <x:v>drop_rate</x:v>
      </x:c>
      <x:c r="H1" s="6" t="str">
        <x:v>folder_structure_drop</x:v>
      </x:c>
      <x:c r="I1" s="6" t="str">
        <x:v>temporal_annotation_drop</x:v>
      </x:c>
      <x:c r="J1" s="6" t="str">
        <x:v>duplicate_corrupt_drop</x:v>
      </x:c>
      <x:c r="K1" s="6" t="str">
        <x:v>low_visibility_drop</x:v>
      </x:c>
      <x:c r="L1" s="6" t="str">
        <x:v>image_content_ambiguity_drop</x:v>
      </x:c>
      <x:c r="M1" s="6" t="str">
        <x:v>other_manual_drop</x:v>
      </x:c>
      <x:c r="N1" s="6" t="str">
        <x:v>avg_qc_sec_per_image</x:v>
      </x:c>
      <x:c r="O1" s="6" t="str">
        <x:v>environment_scope</x:v>
      </x:c>
      <x:c r="P1" s="6" t="str">
        <x:v>distance_scope</x:v>
      </x:c>
      <x:c r="Q1" s="6" t="str">
        <x:v>primary_issue_category</x:v>
      </x:c>
      <x:c r="R1" s="7" t="str">
        <x:v>note</x:v>
      </x:c>
    </x:row>
    <x:row r="2" ht="20" customHeight="1">
      <x:c r="A2" s="8" t="str">
        <x:v>2025-03-12</x:v>
      </x:c>
      <x:c r="B2" s="1" t="str">
        <x:v>QC001</x:v>
      </x:c>
      <x:c r="C2" s="1" t="str">
        <x:v>09:00-18:00</x:v>
      </x:c>
      <x:c r="D2" s="9" t="n">
        <x:v>9184</x:v>
      </x:c>
      <x:c r="E2" s="9" t="n">
        <x:v>5564</x:v>
      </x:c>
      <x:c r="F2" s="9" t="n">
        <x:v>3620</x:v>
      </x:c>
      <x:c r="G2" s="10" t="n">
        <x:v>0.394164</x:v>
      </x:c>
      <x:c r="H2" s="9" t="n">
        <x:v>1556</x:v>
      </x:c>
      <x:c r="I2" s="9" t="n">
        <x:v>1122</x:v>
      </x:c>
      <x:c r="J2" s="9" t="n">
        <x:v>325</x:v>
      </x:c>
      <x:c r="K2" s="9" t="n">
        <x:v>289</x:v>
      </x:c>
      <x:c r="L2" s="9" t="n">
        <x:v>111</x:v>
      </x:c>
      <x:c r="M2" s="9" t="n">
        <x:v>217</x:v>
      </x:c>
      <x:c r="N2" s="11" t="n">
        <x:v>1.6525</x:v>
      </x:c>
      <x:c r="O2" s="1" t="str">
        <x:v>주간, 오후(맑음)</x:v>
      </x:c>
      <x:c r="P2" s="1" t="str">
        <x:v>중거리(10~30m)</x:v>
      </x:c>
      <x:c r="Q2" s="1" t="str">
        <x:v>DUPLICATE_CORRUPT</x:v>
      </x:c>
      <x:c r="R2" s="12" t="str">
        <x:v>중복 파일 검출</x:v>
      </x:c>
    </x:row>
    <x:row r="3" ht="20" customHeight="1">
      <x:c r="A3" s="8" t="str">
        <x:v>2025-03-12</x:v>
      </x:c>
      <x:c r="B3" s="1" t="str">
        <x:v>QC002</x:v>
      </x:c>
      <x:c r="C3" s="1" t="str">
        <x:v>09:00-18:00</x:v>
      </x:c>
      <x:c r="D3" s="9" t="n">
        <x:v>7528</x:v>
      </x:c>
      <x:c r="E3" s="9" t="n">
        <x:v>4341</x:v>
      </x:c>
      <x:c r="F3" s="9" t="n">
        <x:v>3187</x:v>
      </x:c>
      <x:c r="G3" s="10" t="n">
        <x:v>0.423353</x:v>
      </x:c>
      <x:c r="H3" s="9" t="n">
        <x:v>1370</x:v>
      </x:c>
      <x:c r="I3" s="9" t="n">
        <x:v>987</x:v>
      </x:c>
      <x:c r="J3" s="9" t="n">
        <x:v>286</x:v>
      </x:c>
      <x:c r="K3" s="9" t="n">
        <x:v>254</x:v>
      </x:c>
      <x:c r="L3" s="9" t="n">
        <x:v>99</x:v>
      </x:c>
      <x:c r="M3" s="9" t="n">
        <x:v>191</x:v>
      </x:c>
      <x:c r="N3" s="11" t="n">
        <x:v>1.695</x:v>
      </x:c>
      <x:c r="O3" s="1" t="str">
        <x:v>주간, 오전(흐림)</x:v>
      </x:c>
      <x:c r="P3" s="1" t="str">
        <x:v>중거리(10~30m)</x:v>
      </x:c>
      <x:c r="Q3" s="1" t="str">
        <x:v>DUPLICATE_CORRUPT</x:v>
      </x:c>
      <x:c r="R3" s="12" t="str">
        <x:v>중복 파일 검출</x:v>
      </x:c>
    </x:row>
    <x:row r="4" ht="20" customHeight="1">
      <x:c r="A4" s="8" t="str">
        <x:v>2025-03-12</x:v>
      </x:c>
      <x:c r="B4" s="1" t="str">
        <x:v>QC003</x:v>
      </x:c>
      <x:c r="C4" s="1" t="str">
        <x:v>10:00-19:00</x:v>
      </x:c>
      <x:c r="D4" s="9" t="n">
        <x:v>7412</x:v>
      </x:c>
      <x:c r="E4" s="9" t="n">
        <x:v>4043</x:v>
      </x:c>
      <x:c r="F4" s="9" t="n">
        <x:v>3369</x:v>
      </x:c>
      <x:c r="G4" s="10" t="n">
        <x:v>0.454533</x:v>
      </x:c>
      <x:c r="H4" s="9" t="n">
        <x:v>1448</x:v>
      </x:c>
      <x:c r="I4" s="9" t="n">
        <x:v>1044</x:v>
      </x:c>
      <x:c r="J4" s="9" t="n">
        <x:v>303</x:v>
      </x:c>
      <x:c r="K4" s="9" t="n">
        <x:v>269</x:v>
      </x:c>
      <x:c r="L4" s="9" t="n">
        <x:v>103</x:v>
      </x:c>
      <x:c r="M4" s="9" t="n">
        <x:v>202</x:v>
      </x:c>
      <x:c r="N4" s="11" t="n">
        <x:v>1.74</x:v>
      </x:c>
      <x:c r="O4" s="1" t="str">
        <x:v>야간</x:v>
      </x:c>
      <x:c r="P4" s="1" t="str">
        <x:v>중거리(10~30m)</x:v>
      </x:c>
      <x:c r="Q4" s="1" t="str">
        <x:v>IMAGE_CONTENT_AMBIGUITY</x:v>
      </x:c>
      <x:c r="R4" s="12" t="str">
        <x:v>야간 환경으로 객체 식별 기준 충족 불가</x:v>
      </x:c>
    </x:row>
    <x:row r="5" ht="20" customHeight="1">
      <x:c r="A5" s="8" t="str">
        <x:v>2025-03-12</x:v>
      </x:c>
      <x:c r="B5" s="1" t="str">
        <x:v>QC004</x:v>
      </x:c>
      <x:c r="C5" s="1" t="str">
        <x:v>10:00-19:00</x:v>
      </x:c>
      <x:c r="D5" s="9" t="n">
        <x:v>7689</x:v>
      </x:c>
      <x:c r="E5" s="9" t="n">
        <x:v>4211</x:v>
      </x:c>
      <x:c r="F5" s="9" t="n">
        <x:v>3478</x:v>
      </x:c>
      <x:c r="G5" s="10" t="n">
        <x:v>0.452335</x:v>
      </x:c>
      <x:c r="H5" s="9" t="n">
        <x:v>1495</x:v>
      </x:c>
      <x:c r="I5" s="9" t="n">
        <x:v>1078</x:v>
      </x:c>
      <x:c r="J5" s="9" t="n">
        <x:v>313</x:v>
      </x:c>
      <x:c r="K5" s="9" t="n">
        <x:v>278</x:v>
      </x:c>
      <x:c r="L5" s="9" t="n">
        <x:v>106</x:v>
      </x:c>
      <x:c r="M5" s="9" t="n">
        <x:v>208</x:v>
      </x:c>
      <x:c r="N5" s="11" t="n">
        <x:v>1.6125</x:v>
      </x:c>
      <x:c r="O5" s="1" t="str">
        <x:v>주간, 오후(맑음)</x:v>
      </x:c>
      <x:c r="P5" s="1" t="str">
        <x:v>근거리(0~10m)</x:v>
      </x:c>
      <x:c r="Q5" s="1" t="str">
        <x:v>LOW_VISIBILITY</x:v>
      </x:c>
      <x:c r="R5" s="12" t="str">
        <x:v>blur 및 저조도로 객체 식별 불가</x:v>
      </x:c>
    </x:row>
    <x:row r="6" ht="20" customHeight="1">
      <x:c r="A6" s="8" t="str">
        <x:v>2025-03-13</x:v>
      </x:c>
      <x:c r="B6" s="1" t="str">
        <x:v>QC001</x:v>
      </x:c>
      <x:c r="C6" s="1" t="str">
        <x:v>09:00-18:00</x:v>
      </x:c>
      <x:c r="D6" s="9" t="n">
        <x:v>9276</x:v>
      </x:c>
      <x:c r="E6" s="9" t="n">
        <x:v>5535</x:v>
      </x:c>
      <x:c r="F6" s="9" t="n">
        <x:v>3741</x:v>
      </x:c>
      <x:c r="G6" s="10" t="n">
        <x:v>0.403299</x:v>
      </x:c>
      <x:c r="H6" s="9" t="n">
        <x:v>1608</x:v>
      </x:c>
      <x:c r="I6" s="9" t="n">
        <x:v>1159</x:v>
      </x:c>
      <x:c r="J6" s="9" t="n">
        <x:v>336</x:v>
      </x:c>
      <x:c r="K6" s="9" t="n">
        <x:v>299</x:v>
      </x:c>
      <x:c r="L6" s="9" t="n">
        <x:v>115</x:v>
      </x:c>
      <x:c r="M6" s="9" t="n">
        <x:v>224</x:v>
      </x:c>
      <x:c r="N6" s="11" t="n">
        <x:v>1.7425</x:v>
      </x:c>
      <x:c r="O6" s="1" t="str">
        <x:v>주간, 저녁(맑음)</x:v>
      </x:c>
      <x:c r="P6" s="1" t="str">
        <x:v>근거리(0~10m)</x:v>
      </x:c>
      <x:c r="Q6" s="1" t="str">
        <x:v>LOW_VISIBILITY</x:v>
      </x:c>
      <x:c r="R6" s="12" t="str">
        <x:v>blur 및 저조도로 객체 식별 불가</x:v>
      </x:c>
    </x:row>
    <x:row r="7" ht="20" customHeight="1">
      <x:c r="A7" s="8" t="str">
        <x:v>2025-03-13</x:v>
      </x:c>
      <x:c r="B7" s="1" t="str">
        <x:v>QC002</x:v>
      </x:c>
      <x:c r="C7" s="1" t="str">
        <x:v>09:00-18:00</x:v>
      </x:c>
      <x:c r="D7" s="9" t="n">
        <x:v>7486</x:v>
      </x:c>
      <x:c r="E7" s="9" t="n">
        <x:v>4162</x:v>
      </x:c>
      <x:c r="F7" s="9" t="n">
        <x:v>3324</x:v>
      </x:c>
      <x:c r="G7" s="10" t="n">
        <x:v>0.444029</x:v>
      </x:c>
      <x:c r="H7" s="9" t="n">
        <x:v>1429</x:v>
      </x:c>
      <x:c r="I7" s="9" t="n">
        <x:v>1030</x:v>
      </x:c>
      <x:c r="J7" s="9" t="n">
        <x:v>299</x:v>
      </x:c>
      <x:c r="K7" s="9" t="n">
        <x:v>265</x:v>
      </x:c>
      <x:c r="L7" s="9" t="n">
        <x:v>102</x:v>
      </x:c>
      <x:c r="M7" s="9" t="n">
        <x:v>199</x:v>
      </x:c>
      <x:c r="N7" s="11" t="n">
        <x:v>1.815</x:v>
      </x:c>
      <x:c r="O7" s="1" t="str">
        <x:v>주간, 오후(비)</x:v>
      </x:c>
      <x:c r="P7" s="1" t="str">
        <x:v>중거리(10~30m)</x:v>
      </x:c>
      <x:c r="Q7" s="1" t="str">
        <x:v>TEMPORAL_ANNOTATION</x:v>
      </x:c>
      <x:c r="R7" s="12" t="str">
        <x:v>객체 출현/이탈 구간 불명확</x:v>
      </x:c>
    </x:row>
    <x:row r="8" ht="20" customHeight="1">
      <x:c r="A8" s="8" t="str">
        <x:v>2025-03-13</x:v>
      </x:c>
      <x:c r="B8" s="1" t="str">
        <x:v>QC003</x:v>
      </x:c>
      <x:c r="C8" s="1" t="str">
        <x:v>10:00-19:00</x:v>
      </x:c>
      <x:c r="D8" s="9" t="n">
        <x:v>7594</x:v>
      </x:c>
      <x:c r="E8" s="9" t="n">
        <x:v>4146</x:v>
      </x:c>
      <x:c r="F8" s="9" t="n">
        <x:v>3448</x:v>
      </x:c>
      <x:c r="G8" s="10" t="n">
        <x:v>0.454043</x:v>
      </x:c>
      <x:c r="H8" s="9" t="n">
        <x:v>1482</x:v>
      </x:c>
      <x:c r="I8" s="9" t="n">
        <x:v>1068</x:v>
      </x:c>
      <x:c r="J8" s="9" t="n">
        <x:v>310</x:v>
      </x:c>
      <x:c r="K8" s="9" t="n">
        <x:v>275</x:v>
      </x:c>
      <x:c r="L8" s="9" t="n">
        <x:v>107</x:v>
      </x:c>
      <x:c r="M8" s="9" t="n">
        <x:v>206</x:v>
      </x:c>
      <x:c r="N8" s="11" t="n">
        <x:v>1.77</x:v>
      </x:c>
      <x:c r="O8" s="1" t="str">
        <x:v>주간, 오전(맑음)</x:v>
      </x:c>
      <x:c r="P8" s="1" t="str">
        <x:v>중거리(10~30m)</x:v>
      </x:c>
      <x:c r="Q8" s="1" t="str">
        <x:v>TEMPORAL_ANNOTATION</x:v>
      </x:c>
      <x:c r="R8" s="12" t="str">
        <x:v>객체 클래스 불일치</x:v>
      </x:c>
    </x:row>
    <x:row r="9" ht="20" customHeight="1">
      <x:c r="A9" s="8" t="str">
        <x:v>2025-03-13</x:v>
      </x:c>
      <x:c r="B9" s="1" t="str">
        <x:v>QC004</x:v>
      </x:c>
      <x:c r="C9" s="1" t="str">
        <x:v>10:00-19:00</x:v>
      </x:c>
      <x:c r="D9" s="9" t="n">
        <x:v>7735</x:v>
      </x:c>
      <x:c r="E9" s="9" t="n">
        <x:v>4173</x:v>
      </x:c>
      <x:c r="F9" s="9" t="n">
        <x:v>3562</x:v>
      </x:c>
      <x:c r="G9" s="10" t="n">
        <x:v>0.460504</x:v>
      </x:c>
      <x:c r="H9" s="9" t="n">
        <x:v>1531</x:v>
      </x:c>
      <x:c r="I9" s="9" t="n">
        <x:v>1104</x:v>
      </x:c>
      <x:c r="J9" s="9" t="n">
        <x:v>320</x:v>
      </x:c>
      <x:c r="K9" s="9" t="n">
        <x:v>284</x:v>
      </x:c>
      <x:c r="L9" s="9" t="n">
        <x:v>110</x:v>
      </x:c>
      <x:c r="M9" s="9" t="n">
        <x:v>213</x:v>
      </x:c>
      <x:c r="N9" s="11" t="n">
        <x:v>1.715</x:v>
      </x:c>
      <x:c r="O9" s="1" t="str">
        <x:v>주간, 오후(흐림)</x:v>
      </x:c>
      <x:c r="P9" s="1" t="str">
        <x:v>근거리(0~10m)</x:v>
      </x:c>
      <x:c r="Q9" s="1" t="str">
        <x:v>TEMPORAL_ANNOTATION</x:v>
      </x:c>
      <x:c r="R9" s="12" t="str">
        <x:v>프레임 간 객체 이동 불연속 발생</x:v>
      </x:c>
    </x:row>
    <x:row r="10" ht="20" customHeight="1">
      <x:c r="A10" s="8" t="str">
        <x:v>2025-03-14</x:v>
      </x:c>
      <x:c r="B10" s="1" t="str">
        <x:v>QC001</x:v>
      </x:c>
      <x:c r="C10" s="1" t="str">
        <x:v>09:00-18:00</x:v>
      </x:c>
      <x:c r="D10" s="9" t="n">
        <x:v>9058</x:v>
      </x:c>
      <x:c r="E10" s="9" t="n">
        <x:v>5540</x:v>
      </x:c>
      <x:c r="F10" s="9" t="n">
        <x:v>3518</x:v>
      </x:c>
      <x:c r="G10" s="10" t="n">
        <x:v>0.388386</x:v>
      </x:c>
      <x:c r="H10" s="9" t="n">
        <x:v>1512</x:v>
      </x:c>
      <x:c r="I10" s="9" t="n">
        <x:v>1090</x:v>
      </x:c>
      <x:c r="J10" s="9" t="n">
        <x:v>316</x:v>
      </x:c>
      <x:c r="K10" s="9" t="n">
        <x:v>281</x:v>
      </x:c>
      <x:c r="L10" s="9" t="n">
        <x:v>108</x:v>
      </x:c>
      <x:c r="M10" s="9" t="n">
        <x:v>211</x:v>
      </x:c>
      <x:c r="N10" s="11" t="n">
        <x:v>1.8175</x:v>
      </x:c>
      <x:c r="O10" s="1" t="str">
        <x:v>주간, 저녁(비)</x:v>
      </x:c>
      <x:c r="P10" s="1" t="str">
        <x:v>중거리(10~30m)</x:v>
      </x:c>
      <x:c r="Q10" s="1" t="str">
        <x:v>LOW_VISIBILITY</x:v>
      </x:c>
      <x:c r="R10" s="12" t="str">
        <x:v>과다 노출로 인한 객체 인식 불가</x:v>
      </x:c>
    </x:row>
    <x:row r="11" ht="20" customHeight="1">
      <x:c r="A11" s="8" t="str">
        <x:v>2025-03-14</x:v>
      </x:c>
      <x:c r="B11" s="1" t="str">
        <x:v>QC002</x:v>
      </x:c>
      <x:c r="C11" s="1" t="str">
        <x:v>09:00-18:00</x:v>
      </x:c>
      <x:c r="D11" s="9" t="n">
        <x:v>7612</x:v>
      </x:c>
      <x:c r="E11" s="9" t="n">
        <x:v>4201</x:v>
      </x:c>
      <x:c r="F11" s="9" t="n">
        <x:v>3411</x:v>
      </x:c>
      <x:c r="G11" s="10" t="n">
        <x:v>0.448108</x:v>
      </x:c>
      <x:c r="H11" s="9" t="n">
        <x:v>1466</x:v>
      </x:c>
      <x:c r="I11" s="9" t="n">
        <x:v>1057</x:v>
      </x:c>
      <x:c r="J11" s="9" t="n">
        <x:v>306</x:v>
      </x:c>
      <x:c r="K11" s="9" t="n">
        <x:v>272</x:v>
      </x:c>
      <x:c r="L11" s="9" t="n">
        <x:v>106</x:v>
      </x:c>
      <x:c r="M11" s="9" t="n">
        <x:v>204</x:v>
      </x:c>
      <x:c r="N11" s="11" t="n">
        <x:v>1.62</x:v>
      </x:c>
      <x:c r="O11" s="1" t="str">
        <x:v>주간, 오후(맑음)</x:v>
      </x:c>
      <x:c r="P11" s="1" t="str">
        <x:v>원거리(30m+)</x:v>
      </x:c>
      <x:c r="Q11" s="1" t="str">
        <x:v>LOW_VISIBILITY</x:v>
      </x:c>
      <x:c r="R11" s="12" t="str">
        <x:v>과다 노출로 인한 객체 인식 불가</x:v>
      </x:c>
    </x:row>
    <x:row r="12" ht="20" customHeight="1">
      <x:c r="A12" s="8" t="str">
        <x:v>2025-03-14</x:v>
      </x:c>
      <x:c r="B12" s="1" t="str">
        <x:v>QC003</x:v>
      </x:c>
      <x:c r="C12" s="1" t="str">
        <x:v>10:00-19:00</x:v>
      </x:c>
      <x:c r="D12" s="9" t="n">
        <x:v>7355</x:v>
      </x:c>
      <x:c r="E12" s="9" t="n">
        <x:v>4059</x:v>
      </x:c>
      <x:c r="F12" s="9" t="n">
        <x:v>3296</x:v>
      </x:c>
      <x:c r="G12" s="10" t="n">
        <x:v>0.448131</x:v>
      </x:c>
      <x:c r="H12" s="9" t="n">
        <x:v>1417</x:v>
      </x:c>
      <x:c r="I12" s="9" t="n">
        <x:v>1021</x:v>
      </x:c>
      <x:c r="J12" s="9" t="n">
        <x:v>296</x:v>
      </x:c>
      <x:c r="K12" s="9" t="n">
        <x:v>263</x:v>
      </x:c>
      <x:c r="L12" s="9" t="n">
        <x:v>102</x:v>
      </x:c>
      <x:c r="M12" s="9" t="n">
        <x:v>197</x:v>
      </x:c>
      <x:c r="N12" s="11" t="n">
        <x:v>1.775</x:v>
      </x:c>
      <x:c r="O12" s="1" t="str">
        <x:v>주간, 오전(흐림)</x:v>
      </x:c>
      <x:c r="P12" s="1" t="str">
        <x:v>원거리(30m+)</x:v>
      </x:c>
      <x:c r="Q12" s="1" t="str">
        <x:v>LOW_VISIBILITY</x:v>
      </x:c>
      <x:c r="R12" s="12" t="str">
        <x:v>과다 노출로 인한 객체 인식 불가</x:v>
      </x:c>
    </x:row>
    <x:row r="13" ht="20" customHeight="1">
      <x:c r="A13" s="8" t="str">
        <x:v>2025-03-14</x:v>
      </x:c>
      <x:c r="B13" s="1" t="str">
        <x:v>QC004</x:v>
      </x:c>
      <x:c r="C13" s="1" t="str">
        <x:v>10:00-19:00</x:v>
      </x:c>
      <x:c r="D13" s="9" t="n">
        <x:v>7581</x:v>
      </x:c>
      <x:c r="E13" s="9" t="n">
        <x:v>4193</x:v>
      </x:c>
      <x:c r="F13" s="9" t="n">
        <x:v>3388</x:v>
      </x:c>
      <x:c r="G13" s="10" t="n">
        <x:v>0.446907</x:v>
      </x:c>
      <x:c r="H13" s="9" t="n">
        <x:v>1456</x:v>
      </x:c>
      <x:c r="I13" s="9" t="n">
        <x:v>1050</x:v>
      </x:c>
      <x:c r="J13" s="9" t="n">
        <x:v>304</x:v>
      </x:c>
      <x:c r="K13" s="9" t="n">
        <x:v>271</x:v>
      </x:c>
      <x:c r="L13" s="9" t="n">
        <x:v>104</x:v>
      </x:c>
      <x:c r="M13" s="9" t="n">
        <x:v>203</x:v>
      </x:c>
      <x:c r="N13" s="11" t="n">
        <x:v>1.805</x:v>
      </x:c>
      <x:c r="O13" s="1" t="str">
        <x:v>주간, 저녁(맑음)</x:v>
      </x:c>
      <x:c r="P13" s="1" t="str">
        <x:v>원거리(30m+)</x:v>
      </x:c>
      <x:c r="Q13" s="1" t="str">
        <x:v>LOW_VISIBILITY</x:v>
      </x:c>
      <x:c r="R13" s="12" t="str">
        <x:v>과다 노출로 인한 객체 인식 불가</x:v>
      </x:c>
    </x:row>
  </x:sheetData>
  <x:pageMargins left="0.7" right="0.7" top="0.75" bottom="0.75" header="0.3" footer="0.3"/>
  <x:tableParts count="1">
    <x:tablePart xmlns:r="http://schemas.openxmlformats.org/officeDocument/2006/relationships" r:id="R8cbbac9ccbee43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9" hidden="0" customWidth="1"/>
    <x:col min="3" max="3" width="11" hidden="0" customWidth="1"/>
    <x:col min="4" max="4" width="11.4399995803833" hidden="0" customWidth="1"/>
    <x:col min="5" max="5" width="38" hidden="0" customWidth="1"/>
    <x:col min="6" max="6" width="13.220000267028809" hidden="0" customWidth="1"/>
    <x:col min="7" max="7" width="17.440000534057617" hidden="0" customWidth="1"/>
    <x:col min="8" max="8" width="12.779999732971191" hidden="0" customWidth="1"/>
    <x:col min="9" max="9" width="12.779999732971191" hidden="0" customWidth="1"/>
    <x:col min="10" max="10" width="12.329999923706055" hidden="0" customWidth="1"/>
    <x:col min="11" max="11" width="20.110000610351562" hidden="0" customWidth="1"/>
    <x:col min="12" max="12" width="14.5600004196167" hidden="0" customWidth="1"/>
    <x:col min="13" max="13" width="14.109999656677246" hidden="0" customWidth="1"/>
    <x:col min="14" max="14" width="10.329999923706055" hidden="0" customWidth="1"/>
    <x:col min="15" max="15" width="38" hidden="0" customWidth="1"/>
    <x:col min="16" max="16" width="38" hidden="0" customWidth="1"/>
    <x:col min="17" max="17" width="38" hidden="0" customWidth="1"/>
  </x:cols>
  <x:sheetData>
    <x:row r="1" ht="28" customHeight="1">
      <x:c r="A1" s="5" t="str">
        <x:v>event_ts</x:v>
      </x:c>
      <x:c r="B1" s="6" t="str">
        <x:v>worker_id</x:v>
      </x:c>
      <x:c r="C1" s="6" t="str">
        <x:v>batch_id</x:v>
      </x:c>
      <x:c r="D1" s="6" t="str">
        <x:v>session_id</x:v>
      </x:c>
      <x:c r="E1" s="6" t="str">
        <x:v>source_path</x:v>
      </x:c>
      <x:c r="F1" s="6" t="str">
        <x:v>distance_bucket</x:v>
      </x:c>
      <x:c r="G1" s="6" t="str">
        <x:v>environment_condition</x:v>
      </x:c>
      <x:c r="H1" s="6" t="str">
        <x:v>batch_reviewed</x:v>
      </x:c>
      <x:c r="I1" s="6" t="str">
        <x:v>batch_accepted</x:v>
      </x:c>
      <x:c r="J1" s="6" t="str">
        <x:v>batch_dropped</x:v>
      </x:c>
      <x:c r="K1" s="6" t="str">
        <x:v>main_drop_code</x:v>
      </x:c>
      <x:c r="L1" s="6" t="str">
        <x:v>workflow_status</x:v>
      </x:c>
      <x:c r="M1" s="6" t="str">
        <x:v>batch_disposition</x:v>
      </x:c>
      <x:c r="N1" s="6" t="str">
        <x:v>avg_qc_sec</x:v>
      </x:c>
      <x:c r="O1" s="6" t="str">
        <x:v>nas_input_path</x:v>
      </x:c>
      <x:c r="P1" s="6" t="str">
        <x:v>nas_output_path</x:v>
      </x:c>
      <x:c r="Q1" s="7" t="str">
        <x:v>review_note</x:v>
      </x:c>
    </x:row>
    <x:row r="2" ht="20" customHeight="1">
      <x:c r="A2" s="1" t="str">
        <x:v>2025-03-12 09:43:00</x:v>
      </x:c>
      <x:c r="B2" s="1" t="str">
        <x:v>QC001</x:v>
      </x:c>
      <x:c r="C2" s="1" t="str">
        <x:v>20250312_01_B1</x:v>
      </x:c>
      <x:c r="D2" s="1" t="str">
        <x:v>SES-20250312-01</x:v>
      </x:c>
      <x:c r="E2" s="1" t="str">
        <x:v>/nas/raw/2025-03-12/QC001/20250312_01_B1</x:v>
      </x:c>
      <x:c r="F2" s="1" t="str">
        <x:v>30m+</x:v>
      </x:c>
      <x:c r="G2" s="1" t="str">
        <x:v>rain_wetroad</x:v>
      </x:c>
      <x:c r="H2" s="9" t="n">
        <x:v>2296</x:v>
      </x:c>
      <x:c r="I2" s="9" t="n">
        <x:v>1427</x:v>
      </x:c>
      <x:c r="J2" s="9" t="n">
        <x:v>869</x:v>
      </x:c>
      <x:c r="K2" s="1" t="str">
        <x:v>LOW_VISIBILITY</x:v>
      </x:c>
      <x:c r="L2" s="1" t="str">
        <x:v>PASS_TO_NEXT</x:v>
      </x:c>
      <x:c r="M2" s="1" t="str">
        <x:v>PARTIAL_PASS</x:v>
      </x:c>
      <x:c r="N2" s="11" t="n">
        <x:v>1.56</x:v>
      </x:c>
      <x:c r="O2" s="1" t="str">
        <x:v>/nas/input/SES-20250312-01/20250312_01_B1</x:v>
      </x:c>
      <x:c r="P2" s="1" t="str">
        <x:v>/nas/output/SES-20250312-01/20250312_01_B1</x:v>
      </x:c>
      <x:c r="Q2" s="12" t="str">
        <x:v>흐림/저조도/가림 등으로 객체 식별 기준 충족 불가</x:v>
      </x:c>
    </x:row>
    <x:row r="3" ht="20" customHeight="1">
      <x:c r="A3" s="1" t="str">
        <x:v>2025-03-12 11:50:00</x:v>
      </x:c>
      <x:c r="B3" s="1" t="str">
        <x:v>QC001</x:v>
      </x:c>
      <x:c r="C3" s="1" t="str">
        <x:v>20250312_01_B2</x:v>
      </x:c>
      <x:c r="D3" s="1" t="str">
        <x:v>SES-20250312-01</x:v>
      </x:c>
      <x:c r="E3" s="1" t="str">
        <x:v>/nas/raw/2025-03-12/QC001/20250312_01_B2</x:v>
      </x:c>
      <x:c r="F3" s="1" t="str">
        <x:v>30m+</x:v>
      </x:c>
      <x:c r="G3" s="1" t="str">
        <x:v>day_clear</x:v>
      </x:c>
      <x:c r="H3" s="9" t="n">
        <x:v>2296</x:v>
      </x:c>
      <x:c r="I3" s="9" t="n">
        <x:v>1355</x:v>
      </x:c>
      <x:c r="J3" s="9" t="n">
        <x:v>941</x:v>
      </x:c>
      <x:c r="K3" s="1" t="str">
        <x:v>LOW_VISIBILITY</x:v>
      </x:c>
      <x:c r="L3" s="1" t="str">
        <x:v>REVIEW_COMPLETE</x:v>
      </x:c>
      <x:c r="M3" s="1" t="str">
        <x:v>PARTIAL_PASS</x:v>
      </x:c>
      <x:c r="N3" s="11" t="n">
        <x:v>1.7</x:v>
      </x:c>
      <x:c r="O3" s="1" t="str">
        <x:v>/nas/input/SES-20250312-01/20250312_01_B2</x:v>
      </x:c>
      <x:c r="P3" s="1" t="str">
        <x:v>/nas/output/SES-20250312-01/20250312_01_B2</x:v>
      </x:c>
      <x:c r="Q3" s="12" t="str">
        <x:v>흐림/저조도/가림 등으로 객체 식별 기준 충족 불가</x:v>
      </x:c>
    </x:row>
    <x:row r="4" ht="20" customHeight="1">
      <x:c r="A4" s="1" t="str">
        <x:v>2025-03-12 13:04:00</x:v>
      </x:c>
      <x:c r="B4" s="1" t="str">
        <x:v>QC001</x:v>
      </x:c>
      <x:c r="C4" s="1" t="str">
        <x:v>20250312_01_B3</x:v>
      </x:c>
      <x:c r="D4" s="1" t="str">
        <x:v>SES-20250312-01</x:v>
      </x:c>
      <x:c r="E4" s="1" t="str">
        <x:v>/nas/raw/2025-03-12/QC001/20250312_01_B3</x:v>
      </x:c>
      <x:c r="F4" s="1" t="str">
        <x:v>0-10m</x:v>
      </x:c>
      <x:c r="G4" s="1" t="str">
        <x:v>day_clear</x:v>
      </x:c>
      <x:c r="H4" s="9" t="n">
        <x:v>2296</x:v>
      </x:c>
      <x:c r="I4" s="9" t="n">
        <x:v>1391</x:v>
      </x:c>
      <x:c r="J4" s="9" t="n">
        <x:v>905</x:v>
      </x:c>
      <x:c r="K4" s="1" t="str">
        <x:v>LOW_VISIBILITY</x:v>
      </x:c>
      <x:c r="L4" s="1" t="str">
        <x:v>REVIEW_COMPLETE</x:v>
      </x:c>
      <x:c r="M4" s="1" t="str">
        <x:v>PARTIAL_PASS</x:v>
      </x:c>
      <x:c r="N4" s="11" t="n">
        <x:v>1.54</x:v>
      </x:c>
      <x:c r="O4" s="1" t="str">
        <x:v>/nas/input/SES-20250312-01/20250312_01_B3</x:v>
      </x:c>
      <x:c r="P4" s="1" t="str">
        <x:v>/nas/output/SES-20250312-01/20250312_01_B3</x:v>
      </x:c>
      <x:c r="Q4" s="12" t="str">
        <x:v>흐림/저조도/가림 등으로 객체 식별 기준 충족 불가</x:v>
      </x:c>
    </x:row>
    <x:row r="5" ht="20" customHeight="1">
      <x:c r="A5" s="1" t="str">
        <x:v>2025-03-12 15:44:00</x:v>
      </x:c>
      <x:c r="B5" s="1" t="str">
        <x:v>QC001</x:v>
      </x:c>
      <x:c r="C5" s="1" t="str">
        <x:v>20250312_01_B4</x:v>
      </x:c>
      <x:c r="D5" s="1" t="str">
        <x:v>SES-20250312-01</x:v>
      </x:c>
      <x:c r="E5" s="1" t="str">
        <x:v>/nas/raw/2025-03-12/QC001/20250312_01_B4</x:v>
      </x:c>
      <x:c r="F5" s="1" t="str">
        <x:v>10-30m</x:v>
      </x:c>
      <x:c r="G5" s="1" t="str">
        <x:v>night_lowlight</x:v>
      </x:c>
      <x:c r="H5" s="9" t="n">
        <x:v>2296</x:v>
      </x:c>
      <x:c r="I5" s="9" t="n">
        <x:v>1391</x:v>
      </x:c>
      <x:c r="J5" s="9" t="n">
        <x:v>905</x:v>
      </x:c>
      <x:c r="K5" s="1" t="str">
        <x:v>IMAGE_CONTENT_AMBIGUITY</x:v>
      </x:c>
      <x:c r="L5" s="1" t="str">
        <x:v>DROP_AND_ARCHIVE</x:v>
      </x:c>
      <x:c r="M5" s="1" t="str">
        <x:v>PARTIAL_PASS</x:v>
      </x:c>
      <x:c r="N5" s="11" t="n">
        <x:v>1.81</x:v>
      </x:c>
      <x:c r="O5" s="1" t="str">
        <x:v>/nas/input/SES-20250312-01/20250312_01_B4</x:v>
      </x:c>
      <x:c r="P5" s="1" t="str">
        <x:v>/nas/output/SES-20250312-01/20250312_01_B4</x:v>
      </x:c>
      <x:c r="Q5" s="12" t="str">
        <x:v>객체 클래스 Label 불일치</x:v>
      </x:c>
    </x:row>
    <x:row r="6" ht="20" customHeight="1">
      <x:c r="A6" s="1" t="str">
        <x:v>2025-03-12 09:03:00</x:v>
      </x:c>
      <x:c r="B6" s="1" t="str">
        <x:v>QC002</x:v>
      </x:c>
      <x:c r="C6" s="1" t="str">
        <x:v>20250312_02_B1</x:v>
      </x:c>
      <x:c r="D6" s="1" t="str">
        <x:v>SES-20250312-02</x:v>
      </x:c>
      <x:c r="E6" s="1" t="str">
        <x:v>/nas/raw/2025-03-12/QC002/20250312_02_B1</x:v>
      </x:c>
      <x:c r="F6" s="1" t="str">
        <x:v>0-10m</x:v>
      </x:c>
      <x:c r="G6" s="1" t="str">
        <x:v>mixed_indoor_outdoor</x:v>
      </x:c>
      <x:c r="H6" s="9" t="n">
        <x:v>1882</x:v>
      </x:c>
      <x:c r="I6" s="9" t="n">
        <x:v>1117</x:v>
      </x:c>
      <x:c r="J6" s="9" t="n">
        <x:v>765</x:v>
      </x:c>
      <x:c r="K6" s="1" t="str">
        <x:v>DUPLICATE_CORRUPT</x:v>
      </x:c>
      <x:c r="L6" s="1" t="str">
        <x:v>DROP_AND_ARCHIVE</x:v>
      </x:c>
      <x:c r="M6" s="1" t="str">
        <x:v>PARTIAL_PASS</x:v>
      </x:c>
      <x:c r="N6" s="11" t="n">
        <x:v>1.59</x:v>
      </x:c>
      <x:c r="O6" s="1" t="str">
        <x:v>/nas/input/SES-20250312-02/20250312_02_B1</x:v>
      </x:c>
      <x:c r="P6" s="1" t="str">
        <x:v>/nas/output/SES-20250312-02/20250312_02_B1</x:v>
      </x:c>
      <x:c r="Q6" s="12" t="str">
        <x:v>중복 또는 손상 이미지 포함</x:v>
      </x:c>
    </x:row>
    <x:row r="7" ht="20" customHeight="1">
      <x:c r="A7" s="1" t="str">
        <x:v>2025-03-12 11:16:00</x:v>
      </x:c>
      <x:c r="B7" s="1" t="str">
        <x:v>QC002</x:v>
      </x:c>
      <x:c r="C7" s="1" t="str">
        <x:v>20250312_02_B2</x:v>
      </x:c>
      <x:c r="D7" s="1" t="str">
        <x:v>SES-20250312-02</x:v>
      </x:c>
      <x:c r="E7" s="1" t="str">
        <x:v>/nas/raw/2025-03-12/QC002/20250312_02_B2</x:v>
      </x:c>
      <x:c r="F7" s="1" t="str">
        <x:v>10-30m</x:v>
      </x:c>
      <x:c r="G7" s="1" t="str">
        <x:v>day_clear</x:v>
      </x:c>
      <x:c r="H7" s="9" t="n">
        <x:v>1882</x:v>
      </x:c>
      <x:c r="I7" s="9" t="n">
        <x:v>1053</x:v>
      </x:c>
      <x:c r="J7" s="9" t="n">
        <x:v>829</x:v>
      </x:c>
      <x:c r="K7" s="1" t="str">
        <x:v>METADATA_MISMATCH</x:v>
      </x:c>
      <x:c r="L7" s="1" t="str">
        <x:v>PASS_TO_NEXT</x:v>
      </x:c>
      <x:c r="M7" s="1" t="str">
        <x:v>PARTIAL_PASS</x:v>
      </x:c>
      <x:c r="N7" s="11" t="n">
        <x:v>1.67</x:v>
      </x:c>
      <x:c r="O7" s="1" t="str">
        <x:v>/nas/input/SES-20250312-02/20250312_02_B2</x:v>
      </x:c>
      <x:c r="P7" s="1" t="str">
        <x:v>/nas/output/SES-20250312-02/20250312_02_B2</x:v>
      </x:c>
      <x:c r="Q7" s="12" t="str">
        <x:v>거리·환경 메타와 실제 프레임 불일치</x:v>
      </x:c>
    </x:row>
    <x:row r="8" ht="20" customHeight="1">
      <x:c r="A8" s="1" t="str">
        <x:v>2025-03-12 13:25:00</x:v>
      </x:c>
      <x:c r="B8" s="1" t="str">
        <x:v>QC002</x:v>
      </x:c>
      <x:c r="C8" s="1" t="str">
        <x:v>20250312_02_B3</x:v>
      </x:c>
      <x:c r="D8" s="1" t="str">
        <x:v>SES-20250312-02</x:v>
      </x:c>
      <x:c r="E8" s="1" t="str">
        <x:v>/nas/raw/2025-03-12/QC002/20250312_02_B3</x:v>
      </x:c>
      <x:c r="F8" s="1" t="str">
        <x:v>30m+</x:v>
      </x:c>
      <x:c r="G8" s="1" t="str">
        <x:v>rain_wetroad</x:v>
      </x:c>
      <x:c r="H8" s="9" t="n">
        <x:v>1882</x:v>
      </x:c>
      <x:c r="I8" s="9" t="n">
        <x:v>1085</x:v>
      </x:c>
      <x:c r="J8" s="9" t="n">
        <x:v>797</x:v>
      </x:c>
      <x:c r="K8" s="1" t="str">
        <x:v>LOW_VISIBILITY</x:v>
      </x:c>
      <x:c r="L8" s="1" t="str">
        <x:v>PASS_TO_NEXT</x:v>
      </x:c>
      <x:c r="M8" s="1" t="str">
        <x:v>PARTIAL_PASS</x:v>
      </x:c>
      <x:c r="N8" s="11" t="n">
        <x:v>1.91</x:v>
      </x:c>
      <x:c r="O8" s="1" t="str">
        <x:v>/nas/input/SES-20250312-02/20250312_02_B3</x:v>
      </x:c>
      <x:c r="P8" s="1" t="str">
        <x:v>/nas/output/SES-20250312-02/20250312_02_B3</x:v>
      </x:c>
      <x:c r="Q8" s="12" t="str">
        <x:v>흐림/가림 프레임 다수</x:v>
      </x:c>
    </x:row>
    <x:row r="9" ht="20" customHeight="1">
      <x:c r="A9" s="1" t="str">
        <x:v>2025-03-12 15:37:00</x:v>
      </x:c>
      <x:c r="B9" s="1" t="str">
        <x:v>QC002</x:v>
      </x:c>
      <x:c r="C9" s="1" t="str">
        <x:v>20250312_02_B4</x:v>
      </x:c>
      <x:c r="D9" s="1" t="str">
        <x:v>SES-20250312-02</x:v>
      </x:c>
      <x:c r="E9" s="1" t="str">
        <x:v>/nas/raw/2025-03-12/QC002/20250312_02_B4</x:v>
      </x:c>
      <x:c r="F9" s="1" t="str">
        <x:v>10-30m</x:v>
      </x:c>
      <x:c r="G9" s="1" t="str">
        <x:v>day_clear</x:v>
      </x:c>
      <x:c r="H9" s="9" t="n">
        <x:v>1882</x:v>
      </x:c>
      <x:c r="I9" s="9" t="n">
        <x:v>1086</x:v>
      </x:c>
      <x:c r="J9" s="9" t="n">
        <x:v>796</x:v>
      </x:c>
      <x:c r="K9" s="1" t="str">
        <x:v>LOW_VISIBILITY</x:v>
      </x:c>
      <x:c r="L9" s="1" t="str">
        <x:v>REVIEW_COMPLETE</x:v>
      </x:c>
      <x:c r="M9" s="1" t="str">
        <x:v>PARTIAL_PASS</x:v>
      </x:c>
      <x:c r="N9" s="11" t="n">
        <x:v>1.61</x:v>
      </x:c>
      <x:c r="O9" s="1" t="str">
        <x:v>/nas/input/SES-20250312-02/20250312_02_B4</x:v>
      </x:c>
      <x:c r="P9" s="1" t="str">
        <x:v>/nas/output/SES-20250312-02/20250312_02_B4</x:v>
      </x:c>
      <x:c r="Q9" s="12" t="str">
        <x:v>흐림/저조도/가림 등으로 객체 식별 기준 충족 불가</x:v>
      </x:c>
    </x:row>
    <x:row r="10" ht="20" customHeight="1">
      <x:c r="A10" s="1" t="str">
        <x:v>2025-03-12 10:43:00</x:v>
      </x:c>
      <x:c r="B10" s="1" t="str">
        <x:v>QC003</x:v>
      </x:c>
      <x:c r="C10" s="1" t="str">
        <x:v>20250312_03_B1</x:v>
      </x:c>
      <x:c r="D10" s="1" t="str">
        <x:v>SES-20250312-03</x:v>
      </x:c>
      <x:c r="E10" s="1" t="str">
        <x:v>/nas/raw/2025-03-12/QC003/20250312_03_B1</x:v>
      </x:c>
      <x:c r="F10" s="1" t="str">
        <x:v>10-30m</x:v>
      </x:c>
      <x:c r="G10" s="1" t="str">
        <x:v>night_lowlight</x:v>
      </x:c>
      <x:c r="H10" s="9" t="n">
        <x:v>1853</x:v>
      </x:c>
      <x:c r="I10" s="9" t="n">
        <x:v>1044</x:v>
      </x:c>
      <x:c r="J10" s="9" t="n">
        <x:v>809</x:v>
      </x:c>
      <x:c r="K10" s="1" t="str">
        <x:v>TEMPORAL_ANNOTATION</x:v>
      </x:c>
      <x:c r="L10" s="1" t="str">
        <x:v>REVIEW_COMPLETE</x:v>
      </x:c>
      <x:c r="M10" s="1" t="str">
        <x:v>PARTIAL_PASS</x:v>
      </x:c>
      <x:c r="N10" s="11" t="n">
        <x:v>1.45</x:v>
      </x:c>
      <x:c r="O10" s="1" t="str">
        <x:v>/nas/input/SES-20250312-03/20250312_03_B1</x:v>
      </x:c>
      <x:c r="P10" s="1" t="str">
        <x:v>/nas/output/SES-20250312-03/20250312_03_B1</x:v>
      </x:c>
      <x:c r="Q10" s="12" t="str">
        <x:v>객체 출현/이탈 구간 불명확 또는 프레임 간 불연속 발생</x:v>
      </x:c>
    </x:row>
    <x:row r="11" ht="20" customHeight="1">
      <x:c r="A11" s="1" t="str">
        <x:v>2025-03-12 12:45:00</x:v>
      </x:c>
      <x:c r="B11" s="1" t="str">
        <x:v>QC003</x:v>
      </x:c>
      <x:c r="C11" s="1" t="str">
        <x:v>20250312_03_B2</x:v>
      </x:c>
      <x:c r="D11" s="1" t="str">
        <x:v>SES-20250312-03</x:v>
      </x:c>
      <x:c r="E11" s="1" t="str">
        <x:v>/nas/raw/2025-03-12/QC003/20250312_03_B2</x:v>
      </x:c>
      <x:c r="F11" s="1" t="str">
        <x:v>10-30m</x:v>
      </x:c>
      <x:c r="G11" s="1" t="str">
        <x:v>day_clear</x:v>
      </x:c>
      <x:c r="H11" s="9" t="n">
        <x:v>1853</x:v>
      </x:c>
      <x:c r="I11" s="9" t="n">
        <x:v>977</x:v>
      </x:c>
      <x:c r="J11" s="9" t="n">
        <x:v>876</x:v>
      </x:c>
      <x:c r="K11" s="1" t="str">
        <x:v>LOW_VISIBILITY</x:v>
      </x:c>
      <x:c r="L11" s="1" t="str">
        <x:v>PASS_TO_NEXT</x:v>
      </x:c>
      <x:c r="M11" s="1" t="str">
        <x:v>PARTIAL_PASS</x:v>
      </x:c>
      <x:c r="N11" s="11" t="n">
        <x:v>2.01</x:v>
      </x:c>
      <x:c r="O11" s="1" t="str">
        <x:v>/nas/input/SES-20250312-03/20250312_03_B2</x:v>
      </x:c>
      <x:c r="P11" s="1" t="str">
        <x:v>/nas/output/SES-20250312-03/20250312_03_B2</x:v>
      </x:c>
      <x:c r="Q11" s="12" t="str">
        <x:v>흐림/저조도/가림 등으로 객체 식별 기준 충족 불가</x:v>
      </x:c>
    </x:row>
    <x:row r="12" ht="20" customHeight="1">
      <x:c r="A12" s="1" t="str">
        <x:v>2025-03-12 14:27:00</x:v>
      </x:c>
      <x:c r="B12" s="1" t="str">
        <x:v>QC003</x:v>
      </x:c>
      <x:c r="C12" s="1" t="str">
        <x:v>20250312_03_B3</x:v>
      </x:c>
      <x:c r="D12" s="1" t="str">
        <x:v>SES-20250312-03</x:v>
      </x:c>
      <x:c r="E12" s="1" t="str">
        <x:v>/nas/raw/2025-03-12/QC003/20250312_03_B3</x:v>
      </x:c>
      <x:c r="F12" s="1" t="str">
        <x:v>30m+</x:v>
      </x:c>
      <x:c r="G12" s="1" t="str">
        <x:v>rain_wetroad</x:v>
      </x:c>
      <x:c r="H12" s="9" t="n">
        <x:v>1853</x:v>
      </x:c>
      <x:c r="I12" s="9" t="n">
        <x:v>1011</x:v>
      </x:c>
      <x:c r="J12" s="9" t="n">
        <x:v>842</x:v>
      </x:c>
      <x:c r="K12" s="1" t="str">
        <x:v>LOW_VISIBILITY</x:v>
      </x:c>
      <x:c r="L12" s="1" t="str">
        <x:v>PASS_TO_NEXT</x:v>
      </x:c>
      <x:c r="M12" s="1" t="str">
        <x:v>PARTIAL_PASS</x:v>
      </x:c>
      <x:c r="N12" s="11" t="n">
        <x:v>1.66</x:v>
      </x:c>
      <x:c r="O12" s="1" t="str">
        <x:v>/nas/input/SES-20250312-03/20250312_03_B3</x:v>
      </x:c>
      <x:c r="P12" s="1" t="str">
        <x:v>/nas/output/SES-20250312-03/20250312_03_B3</x:v>
      </x:c>
      <x:c r="Q12" s="12" t="str">
        <x:v>흐림/저조도/가림 등으로 객체 식별 기준 충족 불가</x:v>
      </x:c>
    </x:row>
    <x:row r="13" ht="20" customHeight="1">
      <x:c r="A13" s="1" t="str">
        <x:v>2025-03-12 16:16:00</x:v>
      </x:c>
      <x:c r="B13" s="1" t="str">
        <x:v>QC003</x:v>
      </x:c>
      <x:c r="C13" s="1" t="str">
        <x:v>20250312_03_B4</x:v>
      </x:c>
      <x:c r="D13" s="1" t="str">
        <x:v>SES-20250312-03</x:v>
      </x:c>
      <x:c r="E13" s="1" t="str">
        <x:v>/nas/raw/2025-03-12/QC003/20250312_03_B4</x:v>
      </x:c>
      <x:c r="F13" s="1" t="str">
        <x:v>30m+</x:v>
      </x:c>
      <x:c r="G13" s="1" t="str">
        <x:v>day_clear</x:v>
      </x:c>
      <x:c r="H13" s="9" t="n">
        <x:v>1853</x:v>
      </x:c>
      <x:c r="I13" s="9" t="n">
        <x:v>1011</x:v>
      </x:c>
      <x:c r="J13" s="9" t="n">
        <x:v>842</x:v>
      </x:c>
      <x:c r="K13" s="1" t="str">
        <x:v>TEMPORAL_ANNOTATION</x:v>
      </x:c>
      <x:c r="L13" s="1" t="str">
        <x:v>REVIEW_COMPLETE</x:v>
      </x:c>
      <x:c r="M13" s="1" t="str">
        <x:v>PARTIAL_PASS</x:v>
      </x:c>
      <x:c r="N13" s="11" t="n">
        <x:v>1.84</x:v>
      </x:c>
      <x:c r="O13" s="1" t="str">
        <x:v>/nas/input/SES-20250312-03/20250312_03_B4</x:v>
      </x:c>
      <x:c r="P13" s="1" t="str">
        <x:v>/nas/output/SES-20250312-03/20250312_03_B4</x:v>
      </x:c>
      <x:c r="Q13" s="12" t="str">
        <x:v>객체 출현/이탈 구간 불명확 또는 프레임 간 불연속 발생</x:v>
      </x:c>
    </x:row>
    <x:row r="14" ht="20" customHeight="1">
      <x:c r="A14" s="1" t="str">
        <x:v>2025-03-12 10:37:00</x:v>
      </x:c>
      <x:c r="B14" s="1" t="str">
        <x:v>QC004</x:v>
      </x:c>
      <x:c r="C14" s="1" t="str">
        <x:v>20250312_04_B1</x:v>
      </x:c>
      <x:c r="D14" s="1" t="str">
        <x:v>SES-20250312-04</x:v>
      </x:c>
      <x:c r="E14" s="1" t="str">
        <x:v>/nas/raw/2025-03-12/QC004/20250312_04_B1</x:v>
      </x:c>
      <x:c r="F14" s="1" t="str">
        <x:v>0-10m</x:v>
      </x:c>
      <x:c r="G14" s="1" t="str">
        <x:v>mixed_indoor_outdoor</x:v>
      </x:c>
      <x:c r="H14" s="9" t="n">
        <x:v>1923</x:v>
      </x:c>
      <x:c r="I14" s="9" t="n">
        <x:v>1088</x:v>
      </x:c>
      <x:c r="J14" s="9" t="n">
        <x:v>835</x:v>
      </x:c>
      <x:c r="K14" s="1" t="str">
        <x:v>TEMPORAL_ANNOTATION</x:v>
      </x:c>
      <x:c r="L14" s="1" t="str">
        <x:v>DROP_AND_ARCHIVE</x:v>
      </x:c>
      <x:c r="M14" s="1" t="str">
        <x:v>PARTIAL_PASS</x:v>
      </x:c>
      <x:c r="N14" s="11" t="n">
        <x:v>1.59</x:v>
      </x:c>
      <x:c r="O14" s="1" t="str">
        <x:v>/nas/input/SES-20250312-04/20250312_04_B1</x:v>
      </x:c>
      <x:c r="P14" s="1" t="str">
        <x:v>/nas/output/SES-20250312-04/20250312_04_B1</x:v>
      </x:c>
      <x:c r="Q14" s="12" t="str">
        <x:v>객체 출현/이탈 구간 불명확 또는 프레임 간 불연속 발생</x:v>
      </x:c>
    </x:row>
    <x:row r="15" ht="20" customHeight="1">
      <x:c r="A15" s="1" t="str">
        <x:v>2025-03-12 12:43:00</x:v>
      </x:c>
      <x:c r="B15" s="1" t="str">
        <x:v>QC004</x:v>
      </x:c>
      <x:c r="C15" s="1" t="str">
        <x:v>20250312_04_B2</x:v>
      </x:c>
      <x:c r="D15" s="1" t="str">
        <x:v>SES-20250312-04</x:v>
      </x:c>
      <x:c r="E15" s="1" t="str">
        <x:v>/nas/raw/2025-03-12/QC004/20250312_04_B2</x:v>
      </x:c>
      <x:c r="F15" s="1" t="str">
        <x:v>0-10m</x:v>
      </x:c>
      <x:c r="G15" s="1" t="str">
        <x:v>rain_wetroad</x:v>
      </x:c>
      <x:c r="H15" s="9" t="n">
        <x:v>1922</x:v>
      </x:c>
      <x:c r="I15" s="9" t="n">
        <x:v>1017</x:v>
      </x:c>
      <x:c r="J15" s="9" t="n">
        <x:v>905</x:v>
      </x:c>
      <x:c r="K15" s="1" t="str">
        <x:v>TEMPORAL_ANNOTATION</x:v>
      </x:c>
      <x:c r="L15" s="1" t="str">
        <x:v>PASS_TO_NEXT</x:v>
      </x:c>
      <x:c r="M15" s="1" t="str">
        <x:v>PARTIAL_PASS</x:v>
      </x:c>
      <x:c r="N15" s="11" t="n">
        <x:v>1.56</x:v>
      </x:c>
      <x:c r="O15" s="1" t="str">
        <x:v>/nas/input/SES-20250312-04/20250312_04_B2</x:v>
      </x:c>
      <x:c r="P15" s="1" t="str">
        <x:v>/nas/output/SES-20250312-04/20250312_04_B2</x:v>
      </x:c>
      <x:c r="Q15" s="12" t="str">
        <x:v>객체 출현/이탈 구간 불명확 또는 프레임 간 불연속 발생</x:v>
      </x:c>
    </x:row>
    <x:row r="16" ht="20" customHeight="1">
      <x:c r="A16" s="1" t="str">
        <x:v>2025-03-12 14:05:00</x:v>
      </x:c>
      <x:c r="B16" s="1" t="str">
        <x:v>QC004</x:v>
      </x:c>
      <x:c r="C16" s="1" t="str">
        <x:v>20250312_04_B3</x:v>
      </x:c>
      <x:c r="D16" s="1" t="str">
        <x:v>SES-20250312-04</x:v>
      </x:c>
      <x:c r="E16" s="1" t="str">
        <x:v>/nas/raw/2025-03-12/QC004/20250312_04_B3</x:v>
      </x:c>
      <x:c r="F16" s="1" t="str">
        <x:v>10-30m</x:v>
      </x:c>
      <x:c r="G16" s="1" t="str">
        <x:v>rain_wetroad</x:v>
      </x:c>
      <x:c r="H16" s="9" t="n">
        <x:v>1922</x:v>
      </x:c>
      <x:c r="I16" s="9" t="n">
        <x:v>1053</x:v>
      </x:c>
      <x:c r="J16" s="9" t="n">
        <x:v>869</x:v>
      </x:c>
      <x:c r="K16" s="1" t="str">
        <x:v>DUPLICATE_CORRUPT</x:v>
      </x:c>
      <x:c r="L16" s="1" t="str">
        <x:v>PASS_TO_NEXT</x:v>
      </x:c>
      <x:c r="M16" s="1" t="str">
        <x:v>PARTIAL_PASS</x:v>
      </x:c>
      <x:c r="N16" s="11" t="n">
        <x:v>1.55</x:v>
      </x:c>
      <x:c r="O16" s="1" t="str">
        <x:v>/nas/input/SES-20250312-04/20250312_04_B3</x:v>
      </x:c>
      <x:c r="P16" s="1" t="str">
        <x:v>/nas/output/SES-20250312-04/20250312_04_B3</x:v>
      </x:c>
      <x:c r="Q16" s="12" t="str">
        <x:v>중복 또는 손상 이미지 포함</x:v>
      </x:c>
    </x:row>
    <x:row r="17" ht="20" customHeight="1">
      <x:c r="A17" s="1" t="str">
        <x:v>2025-03-12 16:39:00</x:v>
      </x:c>
      <x:c r="B17" s="1" t="str">
        <x:v>QC004</x:v>
      </x:c>
      <x:c r="C17" s="1" t="str">
        <x:v>20250312_04_B4</x:v>
      </x:c>
      <x:c r="D17" s="1" t="str">
        <x:v>SES-20250312-04</x:v>
      </x:c>
      <x:c r="E17" s="1" t="str">
        <x:v>/nas/raw/2025-03-12/QC004/20250312_04_B4</x:v>
      </x:c>
      <x:c r="F17" s="1" t="str">
        <x:v>10-30m</x:v>
      </x:c>
      <x:c r="G17" s="1" t="str">
        <x:v>night_lowlight</x:v>
      </x:c>
      <x:c r="H17" s="9" t="n">
        <x:v>1922</x:v>
      </x:c>
      <x:c r="I17" s="9" t="n">
        <x:v>1053</x:v>
      </x:c>
      <x:c r="J17" s="9" t="n">
        <x:v>869</x:v>
      </x:c>
      <x:c r="K17" s="1" t="str">
        <x:v>LOW_VISIBILITY</x:v>
      </x:c>
      <x:c r="L17" s="1" t="str">
        <x:v>REVIEW_COMPLETE</x:v>
      </x:c>
      <x:c r="M17" s="1" t="str">
        <x:v>PARTIAL_PASS</x:v>
      </x:c>
      <x:c r="N17" s="11" t="n">
        <x:v>1.75</x:v>
      </x:c>
      <x:c r="O17" s="1" t="str">
        <x:v>/nas/input/SES-20250312-04/20250312_04_B4</x:v>
      </x:c>
      <x:c r="P17" s="1" t="str">
        <x:v>/nas/output/SES-20250312-04/20250312_04_B4</x:v>
      </x:c>
      <x:c r="Q17" s="12" t="str">
        <x:v>흐림/가림 프레임 다수</x:v>
      </x:c>
    </x:row>
    <x:row r="18" ht="20" customHeight="1">
      <x:c r="A18" s="1" t="str">
        <x:v>2025-03-13 09:44:00</x:v>
      </x:c>
      <x:c r="B18" s="1" t="str">
        <x:v>QC001</x:v>
      </x:c>
      <x:c r="C18" s="1" t="str">
        <x:v>20250313_01_B1</x:v>
      </x:c>
      <x:c r="D18" s="1" t="str">
        <x:v>SES-20250313-01</x:v>
      </x:c>
      <x:c r="E18" s="1" t="str">
        <x:v>/nas/raw/2025-03-13/QC001/20250313_01_B1</x:v>
      </x:c>
      <x:c r="F18" s="1" t="str">
        <x:v>10-30m</x:v>
      </x:c>
      <x:c r="G18" s="1" t="str">
        <x:v>night_lowlight</x:v>
      </x:c>
      <x:c r="H18" s="9" t="n">
        <x:v>2319</x:v>
      </x:c>
      <x:c r="I18" s="9" t="n">
        <x:v>1421</x:v>
      </x:c>
      <x:c r="J18" s="9" t="n">
        <x:v>898</x:v>
      </x:c>
      <x:c r="K18" s="1" t="str">
        <x:v>TEMPORAL_ANNOTATION</x:v>
      </x:c>
      <x:c r="L18" s="1" t="str">
        <x:v>PASS_TO_NEXT</x:v>
      </x:c>
      <x:c r="M18" s="1" t="str">
        <x:v>PARTIAL_PASS</x:v>
      </x:c>
      <x:c r="N18" s="11" t="n">
        <x:v>1.92</x:v>
      </x:c>
      <x:c r="O18" s="1" t="str">
        <x:v>/nas/input/SES-20250313-01/20250313_01_B1</x:v>
      </x:c>
      <x:c r="P18" s="1" t="str">
        <x:v>/nas/output/SES-20250313-01/20250313_01_B1</x:v>
      </x:c>
      <x:c r="Q18" s="12" t="str">
        <x:v>객체 출현/이탈 구간 불명확 또는 프레임 간 불연속 발생</x:v>
      </x:c>
    </x:row>
    <x:row r="19" ht="20" customHeight="1">
      <x:c r="A19" s="1" t="str">
        <x:v>2025-03-13 11:37:00</x:v>
      </x:c>
      <x:c r="B19" s="1" t="str">
        <x:v>QC001</x:v>
      </x:c>
      <x:c r="C19" s="1" t="str">
        <x:v>20250313_01_B2</x:v>
      </x:c>
      <x:c r="D19" s="1" t="str">
        <x:v>SES-20250313-01</x:v>
      </x:c>
      <x:c r="E19" s="1" t="str">
        <x:v>/nas/raw/2025-03-13/QC001/20250313_01_B2</x:v>
      </x:c>
      <x:c r="F19" s="1" t="str">
        <x:v>30m+</x:v>
      </x:c>
      <x:c r="G19" s="1" t="str">
        <x:v>mixed_indoor_outdoor</x:v>
      </x:c>
      <x:c r="H19" s="9" t="n">
        <x:v>2319</x:v>
      </x:c>
      <x:c r="I19" s="9" t="n">
        <x:v>1346</x:v>
      </x:c>
      <x:c r="J19" s="9" t="n">
        <x:v>973</x:v>
      </x:c>
      <x:c r="K19" s="1" t="str">
        <x:v>IMAGE_CONTENT_AMBIGUITY</x:v>
      </x:c>
      <x:c r="L19" s="1" t="str">
        <x:v>REVIEW_COMPLETE</x:v>
      </x:c>
      <x:c r="M19" s="1" t="str">
        <x:v>PARTIAL_PASS</x:v>
      </x:c>
      <x:c r="N19" s="11" t="n">
        <x:v>1.68</x:v>
      </x:c>
      <x:c r="O19" s="1" t="str">
        <x:v>/nas/input/SES-20250313-01/20250313_01_B2</x:v>
      </x:c>
      <x:c r="P19" s="1" t="str">
        <x:v>/nas/output/SES-20250313-01/20250313_01_B2</x:v>
      </x:c>
      <x:c r="Q19" s="12" t="str">
        <x:v>객체 클래스 Label 불일치</x:v>
      </x:c>
    </x:row>
    <x:row r="20" ht="20" customHeight="1">
      <x:c r="A20" s="1" t="str">
        <x:v>2025-03-13 13:17:00</x:v>
      </x:c>
      <x:c r="B20" s="1" t="str">
        <x:v>QC001</x:v>
      </x:c>
      <x:c r="C20" s="1" t="str">
        <x:v>20250313_01_B3</x:v>
      </x:c>
      <x:c r="D20" s="1" t="str">
        <x:v>SES-20250313-01</x:v>
      </x:c>
      <x:c r="E20" s="1" t="str">
        <x:v>/nas/raw/2025-03-13/QC001/20250313_01_B3</x:v>
      </x:c>
      <x:c r="F20" s="1" t="str">
        <x:v>0-10m</x:v>
      </x:c>
      <x:c r="G20" s="1" t="str">
        <x:v>mixed_indoor_outdoor</x:v>
      </x:c>
      <x:c r="H20" s="9" t="n">
        <x:v>2319</x:v>
      </x:c>
      <x:c r="I20" s="9" t="n">
        <x:v>1384</x:v>
      </x:c>
      <x:c r="J20" s="9" t="n">
        <x:v>935</x:v>
      </x:c>
      <x:c r="K20" s="1" t="str">
        <x:v>METADATA_MISMATCH</x:v>
      </x:c>
      <x:c r="L20" s="1" t="str">
        <x:v>PASS_TO_NEXT</x:v>
      </x:c>
      <x:c r="M20" s="1" t="str">
        <x:v>PARTIAL_PASS</x:v>
      </x:c>
      <x:c r="N20" s="11" t="n">
        <x:v>1.93</x:v>
      </x:c>
      <x:c r="O20" s="1" t="str">
        <x:v>/nas/input/SES-20250313-01/20250313_01_B3</x:v>
      </x:c>
      <x:c r="P20" s="1" t="str">
        <x:v>/nas/output/SES-20250313-01/20250313_01_B3</x:v>
      </x:c>
      <x:c r="Q20" s="12" t="str">
        <x:v>거리/환경 메타데이터와 실제 프레임 불일치</x:v>
      </x:c>
    </x:row>
    <x:row r="21" ht="20" customHeight="1">
      <x:c r="A21" s="1" t="str">
        <x:v>2025-03-13 15:10:00</x:v>
      </x:c>
      <x:c r="B21" s="1" t="str">
        <x:v>QC001</x:v>
      </x:c>
      <x:c r="C21" s="1" t="str">
        <x:v>20250313_01_B4</x:v>
      </x:c>
      <x:c r="D21" s="1" t="str">
        <x:v>SES-20250313-01</x:v>
      </x:c>
      <x:c r="E21" s="1" t="str">
        <x:v>/nas/raw/2025-03-13/QC001/20250313_01_B4</x:v>
      </x:c>
      <x:c r="F21" s="1" t="str">
        <x:v>0-10m</x:v>
      </x:c>
      <x:c r="G21" s="1" t="str">
        <x:v>mixed_indoor_outdoor</x:v>
      </x:c>
      <x:c r="H21" s="9" t="n">
        <x:v>2319</x:v>
      </x:c>
      <x:c r="I21" s="9" t="n">
        <x:v>1384</x:v>
      </x:c>
      <x:c r="J21" s="9" t="n">
        <x:v>935</x:v>
      </x:c>
      <x:c r="K21" s="1" t="str">
        <x:v>IMAGE_CONTENT_AMBIGUITY</x:v>
      </x:c>
      <x:c r="L21" s="1" t="str">
        <x:v>REVIEW_COMPLETE</x:v>
      </x:c>
      <x:c r="M21" s="1" t="str">
        <x:v>PARTIAL_PASS</x:v>
      </x:c>
      <x:c r="N21" s="11" t="n">
        <x:v>1.44</x:v>
      </x:c>
      <x:c r="O21" s="1" t="str">
        <x:v>/nas/input/SES-20250313-01/20250313_01_B4</x:v>
      </x:c>
      <x:c r="P21" s="1" t="str">
        <x:v>/nas/output/SES-20250313-01/20250313_01_B4</x:v>
      </x:c>
      <x:c r="Q21" s="12" t="str">
        <x:v>객체 클래스 Label 불일치</x:v>
      </x:c>
    </x:row>
    <x:row r="22" ht="20" customHeight="1">
      <x:c r="A22" s="1" t="str">
        <x:v>2025-03-13 09:27:00</x:v>
      </x:c>
      <x:c r="B22" s="1" t="str">
        <x:v>QC002</x:v>
      </x:c>
      <x:c r="C22" s="1" t="str">
        <x:v>20250313_02_B1</x:v>
      </x:c>
      <x:c r="D22" s="1" t="str">
        <x:v>SES-20250313-02</x:v>
      </x:c>
      <x:c r="E22" s="1" t="str">
        <x:v>/nas/raw/2025-03-13/QC002/20250313_02_B1</x:v>
      </x:c>
      <x:c r="F22" s="1" t="str">
        <x:v>10-30m</x:v>
      </x:c>
      <x:c r="G22" s="1" t="str">
        <x:v>rain_wetroad</x:v>
      </x:c>
      <x:c r="H22" s="9" t="n">
        <x:v>1872</x:v>
      </x:c>
      <x:c r="I22" s="9" t="n">
        <x:v>1074</x:v>
      </x:c>
      <x:c r="J22" s="9" t="n">
        <x:v>798</x:v>
      </x:c>
      <x:c r="K22" s="1" t="str">
        <x:v>TEMPORAL_ANNOTATION</x:v>
      </x:c>
      <x:c r="L22" s="1" t="str">
        <x:v>REVIEW_COMPLETE</x:v>
      </x:c>
      <x:c r="M22" s="1" t="str">
        <x:v>PARTIAL_PASS</x:v>
      </x:c>
      <x:c r="N22" s="11" t="n">
        <x:v>2</x:v>
      </x:c>
      <x:c r="O22" s="1" t="str">
        <x:v>/nas/input/SES-20250313-02/20250313_02_B1</x:v>
      </x:c>
      <x:c r="P22" s="1" t="str">
        <x:v>/nas/output/SES-20250313-02/20250313_02_B1</x:v>
      </x:c>
      <x:c r="Q22" s="12" t="str">
        <x:v>객체 출현/이탈 구간 불명확 또는 프레임 간 불연속 발생</x:v>
      </x:c>
    </x:row>
    <x:row r="23" ht="20" customHeight="1">
      <x:c r="A23" s="1" t="str">
        <x:v>2025-03-13 11:03:00</x:v>
      </x:c>
      <x:c r="B23" s="1" t="str">
        <x:v>QC002</x:v>
      </x:c>
      <x:c r="C23" s="1" t="str">
        <x:v>20250313_02_B2</x:v>
      </x:c>
      <x:c r="D23" s="1" t="str">
        <x:v>SES-20250313-02</x:v>
      </x:c>
      <x:c r="E23" s="1" t="str">
        <x:v>/nas/raw/2025-03-13/QC002/20250313_02_B2</x:v>
      </x:c>
      <x:c r="F23" s="1" t="str">
        <x:v>0-10m</x:v>
      </x:c>
      <x:c r="G23" s="1" t="str">
        <x:v>rain_wetroad</x:v>
      </x:c>
      <x:c r="H23" s="9" t="n">
        <x:v>1872</x:v>
      </x:c>
      <x:c r="I23" s="9" t="n">
        <x:v>1008</x:v>
      </x:c>
      <x:c r="J23" s="9" t="n">
        <x:v>864</x:v>
      </x:c>
      <x:c r="K23" s="1" t="str">
        <x:v>TEMPORAL_ANNOTATION</x:v>
      </x:c>
      <x:c r="L23" s="1" t="str">
        <x:v>REVIEW_COMPLETE</x:v>
      </x:c>
      <x:c r="M23" s="1" t="str">
        <x:v>PARTIAL_PASS</x:v>
      </x:c>
      <x:c r="N23" s="11" t="n">
        <x:v>1.64</x:v>
      </x:c>
      <x:c r="O23" s="1" t="str">
        <x:v>/nas/input/SES-20250313-02/20250313_02_B2</x:v>
      </x:c>
      <x:c r="P23" s="1" t="str">
        <x:v>/nas/output/SES-20250313-02/20250313_02_B2</x:v>
      </x:c>
      <x:c r="Q23" s="12" t="str">
        <x:v>객체 출현/이탈 구간 불명확 또는 프레임 간 불연속 발생</x:v>
      </x:c>
    </x:row>
    <x:row r="24" ht="20" customHeight="1">
      <x:c r="A24" s="1" t="str">
        <x:v>2025-03-13 13:21:00</x:v>
      </x:c>
      <x:c r="B24" s="1" t="str">
        <x:v>QC002</x:v>
      </x:c>
      <x:c r="C24" s="1" t="str">
        <x:v>20250313_02_B3</x:v>
      </x:c>
      <x:c r="D24" s="1" t="str">
        <x:v>SES-20250313-02</x:v>
      </x:c>
      <x:c r="E24" s="1" t="str">
        <x:v>/nas/raw/2025-03-13/QC002/20250313_02_B3</x:v>
      </x:c>
      <x:c r="F24" s="1" t="str">
        <x:v>10-30m</x:v>
      </x:c>
      <x:c r="G24" s="1" t="str">
        <x:v>day_clear</x:v>
      </x:c>
      <x:c r="H24" s="9" t="n">
        <x:v>1871</x:v>
      </x:c>
      <x:c r="I24" s="9" t="n">
        <x:v>1040</x:v>
      </x:c>
      <x:c r="J24" s="9" t="n">
        <x:v>831</x:v>
      </x:c>
      <x:c r="K24" s="1" t="str">
        <x:v>IMAGE_CONTENT_AMBIGUITY</x:v>
      </x:c>
      <x:c r="L24" s="1" t="str">
        <x:v>REVIEW_COMPLETE</x:v>
      </x:c>
      <x:c r="M24" s="1" t="str">
        <x:v>PARTIAL_PASS</x:v>
      </x:c>
      <x:c r="N24" s="11" t="n">
        <x:v>2.01</x:v>
      </x:c>
      <x:c r="O24" s="1" t="str">
        <x:v>/nas/input/SES-20250313-02/20250313_02_B3</x:v>
      </x:c>
      <x:c r="P24" s="1" t="str">
        <x:v>/nas/output/SES-20250313-02/20250313_02_B3</x:v>
      </x:c>
      <x:c r="Q24" s="12" t="str">
        <x:v>객체 클래스 Label 불일치</x:v>
      </x:c>
    </x:row>
    <x:row r="25" ht="20" customHeight="1">
      <x:c r="A25" s="1" t="str">
        <x:v>2025-03-13 15:19:00</x:v>
      </x:c>
      <x:c r="B25" s="1" t="str">
        <x:v>QC002</x:v>
      </x:c>
      <x:c r="C25" s="1" t="str">
        <x:v>20250313_02_B4</x:v>
      </x:c>
      <x:c r="D25" s="1" t="str">
        <x:v>SES-20250313-02</x:v>
      </x:c>
      <x:c r="E25" s="1" t="str">
        <x:v>/nas/raw/2025-03-13/QC002/20250313_02_B4</x:v>
      </x:c>
      <x:c r="F25" s="1" t="str">
        <x:v>0-10m</x:v>
      </x:c>
      <x:c r="G25" s="1" t="str">
        <x:v>day_clear</x:v>
      </x:c>
      <x:c r="H25" s="9" t="n">
        <x:v>1871</x:v>
      </x:c>
      <x:c r="I25" s="9" t="n">
        <x:v>1040</x:v>
      </x:c>
      <x:c r="J25" s="9" t="n">
        <x:v>831</x:v>
      </x:c>
      <x:c r="K25" s="1" t="str">
        <x:v>METADATA_MISMATCH</x:v>
      </x:c>
      <x:c r="L25" s="1" t="str">
        <x:v>REVIEW_COMPLETE</x:v>
      </x:c>
      <x:c r="M25" s="1" t="str">
        <x:v>PARTIAL_PASS</x:v>
      </x:c>
      <x:c r="N25" s="11" t="n">
        <x:v>1.61</x:v>
      </x:c>
      <x:c r="O25" s="1" t="str">
        <x:v>/nas/input/SES-20250313-02/20250313_02_B4</x:v>
      </x:c>
      <x:c r="P25" s="1" t="str">
        <x:v>/nas/output/SES-20250313-02/20250313_02_B4</x:v>
      </x:c>
      <x:c r="Q25" s="12" t="str">
        <x:v>거리·환경 메타와 실제 프레임 불일치</x:v>
      </x:c>
    </x:row>
    <x:row r="26" ht="20" customHeight="1">
      <x:c r="A26" s="1" t="str">
        <x:v>2025-03-13 10:43:00</x:v>
      </x:c>
      <x:c r="B26" s="1" t="str">
        <x:v>QC003</x:v>
      </x:c>
      <x:c r="C26" s="1" t="str">
        <x:v>20250313_03_B1</x:v>
      </x:c>
      <x:c r="D26" s="1" t="str">
        <x:v>SES-20250313-03</x:v>
      </x:c>
      <x:c r="E26" s="1" t="str">
        <x:v>/nas/raw/2025-03-13/QC003/20250313_03_B1</x:v>
      </x:c>
      <x:c r="F26" s="1" t="str">
        <x:v>0-10m</x:v>
      </x:c>
      <x:c r="G26" s="1" t="str">
        <x:v>night_lowlight</x:v>
      </x:c>
      <x:c r="H26" s="9" t="n">
        <x:v>1899</x:v>
      </x:c>
      <x:c r="I26" s="9" t="n">
        <x:v>1071</x:v>
      </x:c>
      <x:c r="J26" s="9" t="n">
        <x:v>828</x:v>
      </x:c>
      <x:c r="K26" s="1" t="str">
        <x:v>TEMPORAL_ANNOTATION</x:v>
      </x:c>
      <x:c r="L26" s="1" t="str">
        <x:v>DROP_AND_ARCHIVE</x:v>
      </x:c>
      <x:c r="M26" s="1" t="str">
        <x:v>PARTIAL_PASS</x:v>
      </x:c>
      <x:c r="N26" s="11" t="n">
        <x:v>1.93</x:v>
      </x:c>
      <x:c r="O26" s="1" t="str">
        <x:v>/nas/input/SES-20250313-03/20250313_03_B1</x:v>
      </x:c>
      <x:c r="P26" s="1" t="str">
        <x:v>/nas/output/SES-20250313-03/20250313_03_B1</x:v>
      </x:c>
      <x:c r="Q26" s="12" t="str">
        <x:v>거리/환경 메타데이터와 실제 프레임 불일치</x:v>
      </x:c>
    </x:row>
    <x:row r="27" ht="20" customHeight="1">
      <x:c r="A27" s="1" t="str">
        <x:v>2025-03-13 12:37:00</x:v>
      </x:c>
      <x:c r="B27" s="1" t="str">
        <x:v>QC003</x:v>
      </x:c>
      <x:c r="C27" s="1" t="str">
        <x:v>20250313_03_B2</x:v>
      </x:c>
      <x:c r="D27" s="1" t="str">
        <x:v>SES-20250313-03</x:v>
      </x:c>
      <x:c r="E27" s="1" t="str">
        <x:v>/nas/raw/2025-03-13/QC003/20250313_03_B2</x:v>
      </x:c>
      <x:c r="F27" s="1" t="str">
        <x:v>30m+</x:v>
      </x:c>
      <x:c r="G27" s="1" t="str">
        <x:v>day_clear</x:v>
      </x:c>
      <x:c r="H27" s="9" t="n">
        <x:v>1899</x:v>
      </x:c>
      <x:c r="I27" s="9" t="n">
        <x:v>1003</x:v>
      </x:c>
      <x:c r="J27" s="9" t="n">
        <x:v>896</x:v>
      </x:c>
      <x:c r="K27" s="1" t="str">
        <x:v>METADATA_MISMATCH</x:v>
      </x:c>
      <x:c r="L27" s="1" t="str">
        <x:v>REVIEW_COMPLETE</x:v>
      </x:c>
      <x:c r="M27" s="1" t="str">
        <x:v>PARTIAL_PASS</x:v>
      </x:c>
      <x:c r="N27" s="11" t="n">
        <x:v>1.63</x:v>
      </x:c>
      <x:c r="O27" s="1" t="str">
        <x:v>/nas/input/SES-20250313-03/20250313_03_B2</x:v>
      </x:c>
      <x:c r="P27" s="1" t="str">
        <x:v>/nas/output/SES-20250313-03/20250313_03_B2</x:v>
      </x:c>
      <x:c r="Q27" s="12" t="str">
        <x:v>거리·환경 메타와 실제 프레임 불일치</x:v>
      </x:c>
    </x:row>
    <x:row r="28" ht="20" customHeight="1">
      <x:c r="A28" s="1" t="str">
        <x:v>2025-03-13 14:04:00</x:v>
      </x:c>
      <x:c r="B28" s="1" t="str">
        <x:v>QC003</x:v>
      </x:c>
      <x:c r="C28" s="1" t="str">
        <x:v>20250313_03_B3</x:v>
      </x:c>
      <x:c r="D28" s="1" t="str">
        <x:v>SES-20250313-03</x:v>
      </x:c>
      <x:c r="E28" s="1" t="str">
        <x:v>/nas/raw/2025-03-13/QC003/20250313_03_B3</x:v>
      </x:c>
      <x:c r="F28" s="1" t="str">
        <x:v>10-30m</x:v>
      </x:c>
      <x:c r="G28" s="1" t="str">
        <x:v>rain_wetroad</x:v>
      </x:c>
      <x:c r="H28" s="9" t="n">
        <x:v>1898</x:v>
      </x:c>
      <x:c r="I28" s="9" t="n">
        <x:v>1036</x:v>
      </x:c>
      <x:c r="J28" s="9" t="n">
        <x:v>862</x:v>
      </x:c>
      <x:c r="K28" s="1" t="str">
        <x:v>IMAGE_CONTENT_AMBIGUITY</x:v>
      </x:c>
      <x:c r="L28" s="1" t="str">
        <x:v>PASS_TO_NEXT</x:v>
      </x:c>
      <x:c r="M28" s="1" t="str">
        <x:v>PARTIAL_PASS</x:v>
      </x:c>
      <x:c r="N28" s="11" t="n">
        <x:v>1.44</x:v>
      </x:c>
      <x:c r="O28" s="1" t="str">
        <x:v>/nas/input/SES-20250313-03/20250313_03_B3</x:v>
      </x:c>
      <x:c r="P28" s="1" t="str">
        <x:v>/nas/output/SES-20250313-03/20250313_03_B3</x:v>
      </x:c>
      <x:c r="Q28" s="12" t="str">
        <x:v>객체 클래스 Label 불일치</x:v>
      </x:c>
    </x:row>
    <x:row r="29" ht="20" customHeight="1">
      <x:c r="A29" s="1" t="str">
        <x:v>2025-03-13 16:39:00</x:v>
      </x:c>
      <x:c r="B29" s="1" t="str">
        <x:v>QC003</x:v>
      </x:c>
      <x:c r="C29" s="1" t="str">
        <x:v>20250313_03_B4</x:v>
      </x:c>
      <x:c r="D29" s="1" t="str">
        <x:v>SES-20250313-03</x:v>
      </x:c>
      <x:c r="E29" s="1" t="str">
        <x:v>/nas/raw/2025-03-13/QC003/20250313_03_B4</x:v>
      </x:c>
      <x:c r="F29" s="1" t="str">
        <x:v>0-10m</x:v>
      </x:c>
      <x:c r="G29" s="1" t="str">
        <x:v>mixed_indoor_outdoor</x:v>
      </x:c>
      <x:c r="H29" s="9" t="n">
        <x:v>1898</x:v>
      </x:c>
      <x:c r="I29" s="9" t="n">
        <x:v>1036</x:v>
      </x:c>
      <x:c r="J29" s="9" t="n">
        <x:v>862</x:v>
      </x:c>
      <x:c r="K29" s="1" t="str">
        <x:v>METADATA_MISMATCH</x:v>
      </x:c>
      <x:c r="L29" s="1" t="str">
        <x:v>PASS_TO_NEXT</x:v>
      </x:c>
      <x:c r="M29" s="1" t="str">
        <x:v>PARTIAL_PASS</x:v>
      </x:c>
      <x:c r="N29" s="11" t="n">
        <x:v>2.08</x:v>
      </x:c>
      <x:c r="O29" s="1" t="str">
        <x:v>/nas/input/SES-20250313-03/20250313_03_B4</x:v>
      </x:c>
      <x:c r="P29" s="1" t="str">
        <x:v>/nas/output/SES-20250313-03/20250313_03_B4</x:v>
      </x:c>
      <x:c r="Q29" s="12" t="str">
        <x:v>거리/환경 메타데이터와 실제 프레임 불일치</x:v>
      </x:c>
    </x:row>
    <x:row r="30" ht="20" customHeight="1">
      <x:c r="A30" s="1" t="str">
        <x:v>2025-03-13 10:37:00</x:v>
      </x:c>
      <x:c r="B30" s="1" t="str">
        <x:v>QC004</x:v>
      </x:c>
      <x:c r="C30" s="1" t="str">
        <x:v>20250313_04_B1</x:v>
      </x:c>
      <x:c r="D30" s="1" t="str">
        <x:v>SES-20250313-04</x:v>
      </x:c>
      <x:c r="E30" s="1" t="str">
        <x:v>/nas/raw/2025-03-13/QC004/20250313_04_B1</x:v>
      </x:c>
      <x:c r="F30" s="1" t="str">
        <x:v>0-10m</x:v>
      </x:c>
      <x:c r="G30" s="1" t="str">
        <x:v>mixed_indoor_outdoor</x:v>
      </x:c>
      <x:c r="H30" s="9" t="n">
        <x:v>1934</x:v>
      </x:c>
      <x:c r="I30" s="9" t="n">
        <x:v>1079</x:v>
      </x:c>
      <x:c r="J30" s="9" t="n">
        <x:v>855</x:v>
      </x:c>
      <x:c r="K30" s="1" t="str">
        <x:v>DUPLICATE_CORRUPT</x:v>
      </x:c>
      <x:c r="L30" s="1" t="str">
        <x:v>REVIEW_COMPLETE</x:v>
      </x:c>
      <x:c r="M30" s="1" t="str">
        <x:v>PARTIAL_PASS</x:v>
      </x:c>
      <x:c r="N30" s="11" t="n">
        <x:v>1.52</x:v>
      </x:c>
      <x:c r="O30" s="1" t="str">
        <x:v>/nas/input/SES-20250313-04/20250313_04_B1</x:v>
      </x:c>
      <x:c r="P30" s="1" t="str">
        <x:v>/nas/output/SES-20250313-04/20250313_04_B1</x:v>
      </x:c>
      <x:c r="Q30" s="12" t="str">
        <x:v>중복 또는 손상 이미지 포함</x:v>
      </x:c>
    </x:row>
    <x:row r="31" ht="20" customHeight="1">
      <x:c r="A31" s="1" t="str">
        <x:v>2025-03-13 12:36:00</x:v>
      </x:c>
      <x:c r="B31" s="1" t="str">
        <x:v>QC004</x:v>
      </x:c>
      <x:c r="C31" s="1" t="str">
        <x:v>20250313_04_B2</x:v>
      </x:c>
      <x:c r="D31" s="1" t="str">
        <x:v>SES-20250313-04</x:v>
      </x:c>
      <x:c r="E31" s="1" t="str">
        <x:v>/nas/raw/2025-03-13/QC004/20250313_04_B2</x:v>
      </x:c>
      <x:c r="F31" s="1" t="str">
        <x:v>10-30m</x:v>
      </x:c>
      <x:c r="G31" s="1" t="str">
        <x:v>night_lowlight</x:v>
      </x:c>
      <x:c r="H31" s="9" t="n">
        <x:v>1934</x:v>
      </x:c>
      <x:c r="I31" s="9" t="n">
        <x:v>1007</x:v>
      </x:c>
      <x:c r="J31" s="9" t="n">
        <x:v>927</x:v>
      </x:c>
      <x:c r="K31" s="1" t="str">
        <x:v>LOW_VISIBILITY</x:v>
      </x:c>
      <x:c r="L31" s="1" t="str">
        <x:v>REVIEW_COMPLETE</x:v>
      </x:c>
      <x:c r="M31" s="1" t="str">
        <x:v>PARTIAL_PASS</x:v>
      </x:c>
      <x:c r="N31" s="11" t="n">
        <x:v>1.93</x:v>
      </x:c>
      <x:c r="O31" s="1" t="str">
        <x:v>/nas/input/SES-20250313-04/20250313_04_B2</x:v>
      </x:c>
      <x:c r="P31" s="1" t="str">
        <x:v>/nas/output/SES-20250313-04/20250313_04_B2</x:v>
      </x:c>
      <x:c r="Q31" s="12" t="str">
        <x:v>흐림/가림 프레임 다수</x:v>
      </x:c>
    </x:row>
    <x:row r="32" ht="20" customHeight="1">
      <x:c r="A32" s="1" t="str">
        <x:v>2025-03-13 14:47:00</x:v>
      </x:c>
      <x:c r="B32" s="1" t="str">
        <x:v>QC004</x:v>
      </x:c>
      <x:c r="C32" s="1" t="str">
        <x:v>20250313_04_B3</x:v>
      </x:c>
      <x:c r="D32" s="1" t="str">
        <x:v>SES-20250313-04</x:v>
      </x:c>
      <x:c r="E32" s="1" t="str">
        <x:v>/nas/raw/2025-03-13/QC004/20250313_04_B3</x:v>
      </x:c>
      <x:c r="F32" s="1" t="str">
        <x:v>10-30m</x:v>
      </x:c>
      <x:c r="G32" s="1" t="str">
        <x:v>mixed_indoor_outdoor</x:v>
      </x:c>
      <x:c r="H32" s="9" t="n">
        <x:v>1934</x:v>
      </x:c>
      <x:c r="I32" s="9" t="n">
        <x:v>1044</x:v>
      </x:c>
      <x:c r="J32" s="9" t="n">
        <x:v>890</x:v>
      </x:c>
      <x:c r="K32" s="1" t="str">
        <x:v>IMAGE_CONTENT_AMBIGUITY</x:v>
      </x:c>
      <x:c r="L32" s="1" t="str">
        <x:v>REVIEW_COMPLETE</x:v>
      </x:c>
      <x:c r="M32" s="1" t="str">
        <x:v>PARTIAL_PASS</x:v>
      </x:c>
      <x:c r="N32" s="11" t="n">
        <x:v>1.85</x:v>
      </x:c>
      <x:c r="O32" s="1" t="str">
        <x:v>/nas/input/SES-20250313-04/20250313_04_B3</x:v>
      </x:c>
      <x:c r="P32" s="1" t="str">
        <x:v>/nas/output/SES-20250313-04/20250313_04_B3</x:v>
      </x:c>
      <x:c r="Q32" s="12" t="str">
        <x:v>객체 클래스 Label 불일치</x:v>
      </x:c>
    </x:row>
    <x:row r="33" ht="20" customHeight="1">
      <x:c r="A33" s="1" t="str">
        <x:v>2025-03-13 16:31:00</x:v>
      </x:c>
      <x:c r="B33" s="1" t="str">
        <x:v>QC004</x:v>
      </x:c>
      <x:c r="C33" s="1" t="str">
        <x:v>20250313_04_B4</x:v>
      </x:c>
      <x:c r="D33" s="1" t="str">
        <x:v>SES-20250313-04</x:v>
      </x:c>
      <x:c r="E33" s="1" t="str">
        <x:v>/nas/raw/2025-03-13/QC004/20250313_04_B4</x:v>
      </x:c>
      <x:c r="F33" s="1" t="str">
        <x:v>10-30m</x:v>
      </x:c>
      <x:c r="G33" s="1" t="str">
        <x:v>day_clear</x:v>
      </x:c>
      <x:c r="H33" s="9" t="n">
        <x:v>1933</x:v>
      </x:c>
      <x:c r="I33" s="9" t="n">
        <x:v>1043</x:v>
      </x:c>
      <x:c r="J33" s="9" t="n">
        <x:v>890</x:v>
      </x:c>
      <x:c r="K33" s="1" t="str">
        <x:v>LOW_VISIBILITY</x:v>
      </x:c>
      <x:c r="L33" s="1" t="str">
        <x:v>PASS_TO_NEXT</x:v>
      </x:c>
      <x:c r="M33" s="1" t="str">
        <x:v>PARTIAL_PASS</x:v>
      </x:c>
      <x:c r="N33" s="11" t="n">
        <x:v>1.56</x:v>
      </x:c>
      <x:c r="O33" s="1" t="str">
        <x:v>/nas/input/SES-20250313-04/20250313_04_B4</x:v>
      </x:c>
      <x:c r="P33" s="1" t="str">
        <x:v>/nas/output/SES-20250313-04/20250313_04_B4</x:v>
      </x:c>
      <x:c r="Q33" s="12" t="str">
        <x:v>흐림/가림 프레임 다수</x:v>
      </x:c>
    </x:row>
    <x:row r="34" ht="20" customHeight="1">
      <x:c r="A34" s="1" t="str">
        <x:v>2025-03-14 09:24:00</x:v>
      </x:c>
      <x:c r="B34" s="1" t="str">
        <x:v>QC001</x:v>
      </x:c>
      <x:c r="C34" s="1" t="str">
        <x:v>20250314_01_B1</x:v>
      </x:c>
      <x:c r="D34" s="1" t="str">
        <x:v>SES-20250314-01</x:v>
      </x:c>
      <x:c r="E34" s="1" t="str">
        <x:v>/nas/raw/2025-03-14/QC001/20250314_01_B1</x:v>
      </x:c>
      <x:c r="F34" s="1" t="str">
        <x:v>30m+</x:v>
      </x:c>
      <x:c r="G34" s="1" t="str">
        <x:v>night_lowlight</x:v>
      </x:c>
      <x:c r="H34" s="9" t="n">
        <x:v>2265</x:v>
      </x:c>
      <x:c r="I34" s="9" t="n">
        <x:v>1420</x:v>
      </x:c>
      <x:c r="J34" s="9" t="n">
        <x:v>845</x:v>
      </x:c>
      <x:c r="K34" s="1" t="str">
        <x:v>IMAGE_CONTENT_AMBIGUITY</x:v>
      </x:c>
      <x:c r="L34" s="1" t="str">
        <x:v>REVIEW_COMPLETE</x:v>
      </x:c>
      <x:c r="M34" s="1" t="str">
        <x:v>PARTIAL_PASS</x:v>
      </x:c>
      <x:c r="N34" s="11" t="n">
        <x:v>1.55</x:v>
      </x:c>
      <x:c r="O34" s="1" t="str">
        <x:v>/nas/input/SES-20250314-01/20250314_01_B1</x:v>
      </x:c>
      <x:c r="P34" s="1" t="str">
        <x:v>/nas/output/SES-20250314-01/20250314_01_B1</x:v>
      </x:c>
      <x:c r="Q34" s="12" t="str">
        <x:v>객체 클래스 Label 불일치</x:v>
      </x:c>
    </x:row>
    <x:row r="35" ht="20" customHeight="1">
      <x:c r="A35" s="1" t="str">
        <x:v>2025-03-14 11:07:00</x:v>
      </x:c>
      <x:c r="B35" s="1" t="str">
        <x:v>QC001</x:v>
      </x:c>
      <x:c r="C35" s="1" t="str">
        <x:v>20250314_01_B2</x:v>
      </x:c>
      <x:c r="D35" s="1" t="str">
        <x:v>SES-20250314-01</x:v>
      </x:c>
      <x:c r="E35" s="1" t="str">
        <x:v>/nas/raw/2025-03-14/QC001/20250314_01_B2</x:v>
      </x:c>
      <x:c r="F35" s="1" t="str">
        <x:v>0-10m</x:v>
      </x:c>
      <x:c r="G35" s="1" t="str">
        <x:v>night_lowlight</x:v>
      </x:c>
      <x:c r="H35" s="9" t="n">
        <x:v>2265</x:v>
      </x:c>
      <x:c r="I35" s="9" t="n">
        <x:v>1350</x:v>
      </x:c>
      <x:c r="J35" s="9" t="n">
        <x:v>915</x:v>
      </x:c>
      <x:c r="K35" s="1" t="str">
        <x:v>TEMPORAL_ANNOTATION</x:v>
      </x:c>
      <x:c r="L35" s="1" t="str">
        <x:v>PASS_TO_NEXT</x:v>
      </x:c>
      <x:c r="M35" s="1" t="str">
        <x:v>PARTIAL_PASS</x:v>
      </x:c>
      <x:c r="N35" s="11" t="n">
        <x:v>2.03</x:v>
      </x:c>
      <x:c r="O35" s="1" t="str">
        <x:v>/nas/input/SES-20250314-01/20250314_01_B2</x:v>
      </x:c>
      <x:c r="P35" s="1" t="str">
        <x:v>/nas/output/SES-20250314-01/20250314_01_B2</x:v>
      </x:c>
      <x:c r="Q35" s="12" t="str">
        <x:v>객체 출현/이탈 구간 불명확 또는 프레임 간 불연속 발생</x:v>
      </x:c>
    </x:row>
    <x:row r="36" ht="20" customHeight="1">
      <x:c r="A36" s="1" t="str">
        <x:v>2025-03-14 13:24:00</x:v>
      </x:c>
      <x:c r="B36" s="1" t="str">
        <x:v>QC001</x:v>
      </x:c>
      <x:c r="C36" s="1" t="str">
        <x:v>20250314_01_B3</x:v>
      </x:c>
      <x:c r="D36" s="1" t="str">
        <x:v>SES-20250314-01</x:v>
      </x:c>
      <x:c r="E36" s="1" t="str">
        <x:v>/nas/raw/2025-03-14/QC001/20250314_01_B3</x:v>
      </x:c>
      <x:c r="F36" s="1" t="str">
        <x:v>0-10m</x:v>
      </x:c>
      <x:c r="G36" s="1" t="str">
        <x:v>rain_wetroad</x:v>
      </x:c>
      <x:c r="H36" s="9" t="n">
        <x:v>2264</x:v>
      </x:c>
      <x:c r="I36" s="9" t="n">
        <x:v>1385</x:v>
      </x:c>
      <x:c r="J36" s="9" t="n">
        <x:v>879</x:v>
      </x:c>
      <x:c r="K36" s="1" t="str">
        <x:v>IMAGE_CONTENT_AMBIGUITY</x:v>
      </x:c>
      <x:c r="L36" s="1" t="str">
        <x:v>REVIEW_COMPLETE</x:v>
      </x:c>
      <x:c r="M36" s="1" t="str">
        <x:v>PARTIAL_PASS</x:v>
      </x:c>
      <x:c r="N36" s="11" t="n">
        <x:v>1.74</x:v>
      </x:c>
      <x:c r="O36" s="1" t="str">
        <x:v>/nas/input/SES-20250314-01/20250314_01_B3</x:v>
      </x:c>
      <x:c r="P36" s="1" t="str">
        <x:v>/nas/output/SES-20250314-01/20250314_01_B3</x:v>
      </x:c>
      <x:c r="Q36" s="12" t="str">
        <x:v>객체 클래스 Label 불일치</x:v>
      </x:c>
    </x:row>
    <x:row r="37" ht="20" customHeight="1">
      <x:c r="A37" s="1" t="str">
        <x:v>2025-03-14 15:37:00</x:v>
      </x:c>
      <x:c r="B37" s="1" t="str">
        <x:v>QC001</x:v>
      </x:c>
      <x:c r="C37" s="1" t="str">
        <x:v>20250314_01_B4</x:v>
      </x:c>
      <x:c r="D37" s="1" t="str">
        <x:v>SES-20250314-01</x:v>
      </x:c>
      <x:c r="E37" s="1" t="str">
        <x:v>/nas/raw/2025-03-14/QC001/20250314_01_B4</x:v>
      </x:c>
      <x:c r="F37" s="1" t="str">
        <x:v>30m+</x:v>
      </x:c>
      <x:c r="G37" s="1" t="str">
        <x:v>mixed_indoor_outdoor</x:v>
      </x:c>
      <x:c r="H37" s="9" t="n">
        <x:v>2264</x:v>
      </x:c>
      <x:c r="I37" s="9" t="n">
        <x:v>1385</x:v>
      </x:c>
      <x:c r="J37" s="9" t="n">
        <x:v>879</x:v>
      </x:c>
      <x:c r="K37" s="1" t="str">
        <x:v>IMAGE_CONTENT_AMBIGUITY</x:v>
      </x:c>
      <x:c r="L37" s="1" t="str">
        <x:v>PASS_TO_NEXT</x:v>
      </x:c>
      <x:c r="M37" s="1" t="str">
        <x:v>PARTIAL_PASS</x:v>
      </x:c>
      <x:c r="N37" s="11" t="n">
        <x:v>1.95</x:v>
      </x:c>
      <x:c r="O37" s="1" t="str">
        <x:v>/nas/input/SES-20250314-01/20250314_01_B4</x:v>
      </x:c>
      <x:c r="P37" s="1" t="str">
        <x:v>/nas/output/SES-20250314-01/20250314_01_B4</x:v>
      </x:c>
      <x:c r="Q37" s="12" t="str">
        <x:v>객체 클래스 Label 불일치</x:v>
      </x:c>
    </x:row>
    <x:row r="38" ht="20" customHeight="1">
      <x:c r="A38" s="1" t="str">
        <x:v>2025-03-14 09:29:00</x:v>
      </x:c>
      <x:c r="B38" s="1" t="str">
        <x:v>QC002</x:v>
      </x:c>
      <x:c r="C38" s="1" t="str">
        <x:v>20250314_02_B1</x:v>
      </x:c>
      <x:c r="D38" s="1" t="str">
        <x:v>SES-20250314-02</x:v>
      </x:c>
      <x:c r="E38" s="1" t="str">
        <x:v>/nas/raw/2025-03-14/QC002/20250314_02_B1</x:v>
      </x:c>
      <x:c r="F38" s="1" t="str">
        <x:v>0-10m</x:v>
      </x:c>
      <x:c r="G38" s="1" t="str">
        <x:v>mixed_indoor_outdoor</x:v>
      </x:c>
      <x:c r="H38" s="9" t="n">
        <x:v>1903</x:v>
      </x:c>
      <x:c r="I38" s="9" t="n">
        <x:v>1084</x:v>
      </x:c>
      <x:c r="J38" s="9" t="n">
        <x:v>819</x:v>
      </x:c>
      <x:c r="K38" s="1" t="str">
        <x:v>IMAGE_CONTENT_AMBIGUITY</x:v>
      </x:c>
      <x:c r="L38" s="1" t="str">
        <x:v>DROP_AND_ARCHIVE</x:v>
      </x:c>
      <x:c r="M38" s="1" t="str">
        <x:v>PARTIAL_PASS</x:v>
      </x:c>
      <x:c r="N38" s="11" t="n">
        <x:v>1.7</x:v>
      </x:c>
      <x:c r="O38" s="1" t="str">
        <x:v>/nas/input/SES-20250314-02/20250314_02_B1</x:v>
      </x:c>
      <x:c r="P38" s="1" t="str">
        <x:v>/nas/output/SES-20250314-02/20250314_02_B1</x:v>
      </x:c>
      <x:c r="Q38" s="12" t="str">
        <x:v>객체 클래스 Label 불일치</x:v>
      </x:c>
    </x:row>
    <x:row r="39" ht="20" customHeight="1">
      <x:c r="A39" s="1" t="str">
        <x:v>2025-03-14 11:32:00</x:v>
      </x:c>
      <x:c r="B39" s="1" t="str">
        <x:v>QC002</x:v>
      </x:c>
      <x:c r="C39" s="1" t="str">
        <x:v>20250314_02_B2</x:v>
      </x:c>
      <x:c r="D39" s="1" t="str">
        <x:v>SES-20250314-02</x:v>
      </x:c>
      <x:c r="E39" s="1" t="str">
        <x:v>/nas/raw/2025-03-14/QC002/20250314_02_B2</x:v>
      </x:c>
      <x:c r="F39" s="1" t="str">
        <x:v>0-10m</x:v>
      </x:c>
      <x:c r="G39" s="1" t="str">
        <x:v>day_clear</x:v>
      </x:c>
      <x:c r="H39" s="9" t="n">
        <x:v>1903</x:v>
      </x:c>
      <x:c r="I39" s="9" t="n">
        <x:v>1016</x:v>
      </x:c>
      <x:c r="J39" s="9" t="n">
        <x:v>887</x:v>
      </x:c>
      <x:c r="K39" s="1" t="str">
        <x:v>LOW_VISIBILITY</x:v>
      </x:c>
      <x:c r="L39" s="1" t="str">
        <x:v>PASS_TO_NEXT</x:v>
      </x:c>
      <x:c r="M39" s="1" t="str">
        <x:v>PARTIAL_PASS</x:v>
      </x:c>
      <x:c r="N39" s="11" t="n">
        <x:v>1.68</x:v>
      </x:c>
      <x:c r="O39" s="1" t="str">
        <x:v>/nas/input/SES-20250314-02/20250314_02_B2</x:v>
      </x:c>
      <x:c r="P39" s="1" t="str">
        <x:v>/nas/output/SES-20250314-02/20250314_02_B2</x:v>
      </x:c>
      <x:c r="Q39" s="12" t="str">
        <x:v>흐림/가림 프레임 다수</x:v>
      </x:c>
    </x:row>
    <x:row r="40" ht="20" customHeight="1">
      <x:c r="A40" s="1" t="str">
        <x:v>2025-03-14 13:24:00</x:v>
      </x:c>
      <x:c r="B40" s="1" t="str">
        <x:v>QC002</x:v>
      </x:c>
      <x:c r="C40" s="1" t="str">
        <x:v>20250314_02_B3</x:v>
      </x:c>
      <x:c r="D40" s="1" t="str">
        <x:v>SES-20250314-02</x:v>
      </x:c>
      <x:c r="E40" s="1" t="str">
        <x:v>/nas/raw/2025-03-14/QC002/20250314_02_B3</x:v>
      </x:c>
      <x:c r="F40" s="1" t="str">
        <x:v>0-10m</x:v>
      </x:c>
      <x:c r="G40" s="1" t="str">
        <x:v>night_lowlight</x:v>
      </x:c>
      <x:c r="H40" s="9" t="n">
        <x:v>1903</x:v>
      </x:c>
      <x:c r="I40" s="9" t="n">
        <x:v>1050</x:v>
      </x:c>
      <x:c r="J40" s="9" t="n">
        <x:v>853</x:v>
      </x:c>
      <x:c r="K40" s="1" t="str">
        <x:v>DUPLICATE_CORRUPT</x:v>
      </x:c>
      <x:c r="L40" s="1" t="str">
        <x:v>PASS_TO_NEXT</x:v>
      </x:c>
      <x:c r="M40" s="1" t="str">
        <x:v>PARTIAL_PASS</x:v>
      </x:c>
      <x:c r="N40" s="11" t="n">
        <x:v>1.53</x:v>
      </x:c>
      <x:c r="O40" s="1" t="str">
        <x:v>/nas/input/SES-20250314-02/20250314_02_B3</x:v>
      </x:c>
      <x:c r="P40" s="1" t="str">
        <x:v>/nas/output/SES-20250314-02/20250314_02_B3</x:v>
      </x:c>
      <x:c r="Q40" s="12" t="str">
        <x:v>중복 또는 손상 이미지 포함</x:v>
      </x:c>
    </x:row>
    <x:row r="41" ht="20" customHeight="1">
      <x:c r="A41" s="1" t="str">
        <x:v>2025-03-14 15:31:00</x:v>
      </x:c>
      <x:c r="B41" s="1" t="str">
        <x:v>QC002</x:v>
      </x:c>
      <x:c r="C41" s="1" t="str">
        <x:v>20250314_02_B4</x:v>
      </x:c>
      <x:c r="D41" s="1" t="str">
        <x:v>SES-20250314-02</x:v>
      </x:c>
      <x:c r="E41" s="1" t="str">
        <x:v>/nas/raw/2025-03-14/QC002/20250314_02_B4</x:v>
      </x:c>
      <x:c r="F41" s="1" t="str">
        <x:v>0-10m</x:v>
      </x:c>
      <x:c r="G41" s="1" t="str">
        <x:v>rain_wetroad</x:v>
      </x:c>
      <x:c r="H41" s="9" t="n">
        <x:v>1903</x:v>
      </x:c>
      <x:c r="I41" s="9" t="n">
        <x:v>1051</x:v>
      </x:c>
      <x:c r="J41" s="9" t="n">
        <x:v>852</x:v>
      </x:c>
      <x:c r="K41" s="1" t="str">
        <x:v>IMAGE_CONTENT_AMBIGUITY</x:v>
      </x:c>
      <x:c r="L41" s="1" t="str">
        <x:v>DROP_AND_ARCHIVE</x:v>
      </x:c>
      <x:c r="M41" s="1" t="str">
        <x:v>PARTIAL_PASS</x:v>
      </x:c>
      <x:c r="N41" s="11" t="n">
        <x:v>1.57</x:v>
      </x:c>
      <x:c r="O41" s="1" t="str">
        <x:v>/nas/input/SES-20250314-02/20250314_02_B4</x:v>
      </x:c>
      <x:c r="P41" s="1" t="str">
        <x:v>/nas/output/SES-20250314-02/20250314_02_B4</x:v>
      </x:c>
      <x:c r="Q41" s="12" t="str">
        <x:v>객체 클래스 Label 불일치</x:v>
      </x:c>
    </x:row>
    <x:row r="42" ht="20" customHeight="1">
      <x:c r="A42" s="1" t="str">
        <x:v>2025-03-14 10:07:00</x:v>
      </x:c>
      <x:c r="B42" s="1" t="str">
        <x:v>QC003</x:v>
      </x:c>
      <x:c r="C42" s="1" t="str">
        <x:v>20250314_03_B1</x:v>
      </x:c>
      <x:c r="D42" s="1" t="str">
        <x:v>SES-20250314-03</x:v>
      </x:c>
      <x:c r="E42" s="1" t="str">
        <x:v>/nas/raw/2025-03-14/QC003/20250314_03_B1</x:v>
      </x:c>
      <x:c r="F42" s="1" t="str">
        <x:v>30m+</x:v>
      </x:c>
      <x:c r="G42" s="1" t="str">
        <x:v>day_clear</x:v>
      </x:c>
      <x:c r="H42" s="9" t="n">
        <x:v>1839</x:v>
      </x:c>
      <x:c r="I42" s="9" t="n">
        <x:v>1047</x:v>
      </x:c>
      <x:c r="J42" s="9" t="n">
        <x:v>792</x:v>
      </x:c>
      <x:c r="K42" s="1" t="str">
        <x:v>TEMPORAL_ANNOTATION</x:v>
      </x:c>
      <x:c r="L42" s="1" t="str">
        <x:v>PASS_TO_NEXT</x:v>
      </x:c>
      <x:c r="M42" s="1" t="str">
        <x:v>PARTIAL_PASS</x:v>
      </x:c>
      <x:c r="N42" s="11" t="n">
        <x:v>1.86</x:v>
      </x:c>
      <x:c r="O42" s="1" t="str">
        <x:v>/nas/input/SES-20250314-03/20250314_03_B1</x:v>
      </x:c>
      <x:c r="P42" s="1" t="str">
        <x:v>/nas/output/SES-20250314-03/20250314_03_B1</x:v>
      </x:c>
      <x:c r="Q42" s="12" t="str">
        <x:v>객체 출현/이탈 구간 불명확 또는 프레임 간 불연속 발생</x:v>
      </x:c>
    </x:row>
    <x:row r="43" ht="20" customHeight="1">
      <x:c r="A43" s="1" t="str">
        <x:v>2025-03-14 12:37:00</x:v>
      </x:c>
      <x:c r="B43" s="1" t="str">
        <x:v>QC003</x:v>
      </x:c>
      <x:c r="C43" s="1" t="str">
        <x:v>20250314_03_B2</x:v>
      </x:c>
      <x:c r="D43" s="1" t="str">
        <x:v>SES-20250314-03</x:v>
      </x:c>
      <x:c r="E43" s="1" t="str">
        <x:v>/nas/raw/2025-03-14/QC003/20250314_03_B2</x:v>
      </x:c>
      <x:c r="F43" s="1" t="str">
        <x:v>0-10m</x:v>
      </x:c>
      <x:c r="G43" s="1" t="str">
        <x:v>night_lowlight</x:v>
      </x:c>
      <x:c r="H43" s="9" t="n">
        <x:v>1839</x:v>
      </x:c>
      <x:c r="I43" s="9" t="n">
        <x:v>983</x:v>
      </x:c>
      <x:c r="J43" s="9" t="n">
        <x:v>856</x:v>
      </x:c>
      <x:c r="K43" s="1" t="str">
        <x:v>DUPLICATE_CORRUPT</x:v>
      </x:c>
      <x:c r="L43" s="1" t="str">
        <x:v>PASS_TO_NEXT</x:v>
      </x:c>
      <x:c r="M43" s="1" t="str">
        <x:v>PARTIAL_PASS</x:v>
      </x:c>
      <x:c r="N43" s="11" t="n">
        <x:v>1.68</x:v>
      </x:c>
      <x:c r="O43" s="1" t="str">
        <x:v>/nas/input/SES-20250314-03/20250314_03_B2</x:v>
      </x:c>
      <x:c r="P43" s="1" t="str">
        <x:v>/nas/output/SES-20250314-03/20250314_03_B2</x:v>
      </x:c>
      <x:c r="Q43" s="12" t="str">
        <x:v>중복 또는 손상 이미지 포함</x:v>
      </x:c>
    </x:row>
    <x:row r="44" ht="20" customHeight="1">
      <x:c r="A44" s="1" t="str">
        <x:v>2025-03-14 14:33:00</x:v>
      </x:c>
      <x:c r="B44" s="1" t="str">
        <x:v>QC003</x:v>
      </x:c>
      <x:c r="C44" s="1" t="str">
        <x:v>20250314_03_B3</x:v>
      </x:c>
      <x:c r="D44" s="1" t="str">
        <x:v>SES-20250314-03</x:v>
      </x:c>
      <x:c r="E44" s="1" t="str">
        <x:v>/nas/raw/2025-03-14/QC003/20250314_03_B3</x:v>
      </x:c>
      <x:c r="F44" s="1" t="str">
        <x:v>10-30m</x:v>
      </x:c>
      <x:c r="G44" s="1" t="str">
        <x:v>day_clear</x:v>
      </x:c>
      <x:c r="H44" s="9" t="n">
        <x:v>1839</x:v>
      </x:c>
      <x:c r="I44" s="9" t="n">
        <x:v>1015</x:v>
      </x:c>
      <x:c r="J44" s="9" t="n">
        <x:v>824</x:v>
      </x:c>
      <x:c r="K44" s="1" t="str">
        <x:v>IMAGE_CONTENT_AMBIGUITY</x:v>
      </x:c>
      <x:c r="L44" s="1" t="str">
        <x:v>PASS_TO_NEXT</x:v>
      </x:c>
      <x:c r="M44" s="1" t="str">
        <x:v>PARTIAL_PASS</x:v>
      </x:c>
      <x:c r="N44" s="11" t="n">
        <x:v>1.67</x:v>
      </x:c>
      <x:c r="O44" s="1" t="str">
        <x:v>/nas/input/SES-20250314-03/20250314_03_B3</x:v>
      </x:c>
      <x:c r="P44" s="1" t="str">
        <x:v>/nas/output/SES-20250314-03/20250314_03_B3</x:v>
      </x:c>
      <x:c r="Q44" s="12" t="str">
        <x:v>객체 클래스 Label 불일치</x:v>
      </x:c>
    </x:row>
    <x:row r="45" ht="20" customHeight="1">
      <x:c r="A45" s="1" t="str">
        <x:v>2025-03-14 16:27:00</x:v>
      </x:c>
      <x:c r="B45" s="1" t="str">
        <x:v>QC003</x:v>
      </x:c>
      <x:c r="C45" s="1" t="str">
        <x:v>20250314_03_B4</x:v>
      </x:c>
      <x:c r="D45" s="1" t="str">
        <x:v>SES-20250314-03</x:v>
      </x:c>
      <x:c r="E45" s="1" t="str">
        <x:v>/nas/raw/2025-03-14/QC003/20250314_03_B4</x:v>
      </x:c>
      <x:c r="F45" s="1" t="str">
        <x:v>10-30m</x:v>
      </x:c>
      <x:c r="G45" s="1" t="str">
        <x:v>rain_wetroad</x:v>
      </x:c>
      <x:c r="H45" s="9" t="n">
        <x:v>1838</x:v>
      </x:c>
      <x:c r="I45" s="9" t="n">
        <x:v>1014</x:v>
      </x:c>
      <x:c r="J45" s="9" t="n">
        <x:v>824</x:v>
      </x:c>
      <x:c r="K45" s="1" t="str">
        <x:v>IMAGE_CONTENT_AMBIGUITY</x:v>
      </x:c>
      <x:c r="L45" s="1" t="str">
        <x:v>DROP_AND_ARCHIVE</x:v>
      </x:c>
      <x:c r="M45" s="1" t="str">
        <x:v>PARTIAL_PASS</x:v>
      </x:c>
      <x:c r="N45" s="11" t="n">
        <x:v>1.89</x:v>
      </x:c>
      <x:c r="O45" s="1" t="str">
        <x:v>/nas/input/SES-20250314-03/20250314_03_B4</x:v>
      </x:c>
      <x:c r="P45" s="1" t="str">
        <x:v>/nas/output/SES-20250314-03/20250314_03_B4</x:v>
      </x:c>
      <x:c r="Q45" s="12" t="str">
        <x:v>객체 클래스 Label 불일치</x:v>
      </x:c>
    </x:row>
    <x:row r="46" ht="20" customHeight="1">
      <x:c r="A46" s="1" t="str">
        <x:v>2025-03-14 10:49:00</x:v>
      </x:c>
      <x:c r="B46" s="1" t="str">
        <x:v>QC004</x:v>
      </x:c>
      <x:c r="C46" s="1" t="str">
        <x:v>20250314_04_B1</x:v>
      </x:c>
      <x:c r="D46" s="1" t="str">
        <x:v>SES-20250314-04</x:v>
      </x:c>
      <x:c r="E46" s="1" t="str">
        <x:v>/nas/raw/2025-03-14/QC004/20250314_04_B1</x:v>
      </x:c>
      <x:c r="F46" s="1" t="str">
        <x:v>30m+</x:v>
      </x:c>
      <x:c r="G46" s="1" t="str">
        <x:v>mixed_indoor_outdoor</x:v>
      </x:c>
      <x:c r="H46" s="9" t="n">
        <x:v>1896</x:v>
      </x:c>
      <x:c r="I46" s="9" t="n">
        <x:v>1082</x:v>
      </x:c>
      <x:c r="J46" s="9" t="n">
        <x:v>814</x:v>
      </x:c>
      <x:c r="K46" s="1" t="str">
        <x:v>METADATA_MISMATCH</x:v>
      </x:c>
      <x:c r="L46" s="1" t="str">
        <x:v>PASS_TO_NEXT</x:v>
      </x:c>
      <x:c r="M46" s="1" t="str">
        <x:v>PARTIAL_PASS</x:v>
      </x:c>
      <x:c r="N46" s="11" t="n">
        <x:v>1.53</x:v>
      </x:c>
      <x:c r="O46" s="1" t="str">
        <x:v>/nas/input/SES-20250314-04/20250314_04_B1</x:v>
      </x:c>
      <x:c r="P46" s="1" t="str">
        <x:v>/nas/output/SES-20250314-04/20250314_04_B1</x:v>
      </x:c>
      <x:c r="Q46" s="12" t="str">
        <x:v>거리/환경 메타데이터와 실제 프레임 불일치</x:v>
      </x:c>
    </x:row>
    <x:row r="47" ht="20" customHeight="1">
      <x:c r="A47" s="1" t="str">
        <x:v>2025-03-14 12:16:00</x:v>
      </x:c>
      <x:c r="B47" s="1" t="str">
        <x:v>QC004</x:v>
      </x:c>
      <x:c r="C47" s="1" t="str">
        <x:v>20250314_04_B2</x:v>
      </x:c>
      <x:c r="D47" s="1" t="str">
        <x:v>SES-20250314-04</x:v>
      </x:c>
      <x:c r="E47" s="1" t="str">
        <x:v>/nas/raw/2025-03-14/QC004/20250314_04_B2</x:v>
      </x:c>
      <x:c r="F47" s="1" t="str">
        <x:v>30m+</x:v>
      </x:c>
      <x:c r="G47" s="1" t="str">
        <x:v>day_clear</x:v>
      </x:c>
      <x:c r="H47" s="9" t="n">
        <x:v>1895</x:v>
      </x:c>
      <x:c r="I47" s="9" t="n">
        <x:v>1015</x:v>
      </x:c>
      <x:c r="J47" s="9" t="n">
        <x:v>880</x:v>
      </x:c>
      <x:c r="K47" s="1" t="str">
        <x:v>METADATA_MISMATCH</x:v>
      </x:c>
      <x:c r="L47" s="1" t="str">
        <x:v>REVIEW_COMPLETE</x:v>
      </x:c>
      <x:c r="M47" s="1" t="str">
        <x:v>PARTIAL_PASS</x:v>
      </x:c>
      <x:c r="N47" s="11" t="n">
        <x:v>1.62</x:v>
      </x:c>
      <x:c r="O47" s="1" t="str">
        <x:v>/nas/input/SES-20250314-04/20250314_04_B2</x:v>
      </x:c>
      <x:c r="P47" s="1" t="str">
        <x:v>/nas/output/SES-20250314-04/20250314_04_B2</x:v>
      </x:c>
      <x:c r="Q47" s="12" t="str">
        <x:v>거리/환경 메타데이터와 실제 프레임 불일치</x:v>
      </x:c>
    </x:row>
    <x:row r="48" ht="20" customHeight="1">
      <x:c r="A48" s="1" t="str">
        <x:v>2025-03-14 14:06:00</x:v>
      </x:c>
      <x:c r="B48" s="1" t="str">
        <x:v>QC004</x:v>
      </x:c>
      <x:c r="C48" s="1" t="str">
        <x:v>20250314_04_B3</x:v>
      </x:c>
      <x:c r="D48" s="1" t="str">
        <x:v>SES-20250314-04</x:v>
      </x:c>
      <x:c r="E48" s="1" t="str">
        <x:v>/nas/raw/2025-03-14/QC004/20250314_04_B3</x:v>
      </x:c>
      <x:c r="F48" s="1" t="str">
        <x:v>30m+</x:v>
      </x:c>
      <x:c r="G48" s="1" t="str">
        <x:v>night_lowlight</x:v>
      </x:c>
      <x:c r="H48" s="9" t="n">
        <x:v>1895</x:v>
      </x:c>
      <x:c r="I48" s="9" t="n">
        <x:v>1048</x:v>
      </x:c>
      <x:c r="J48" s="9" t="n">
        <x:v>847</x:v>
      </x:c>
      <x:c r="K48" s="1" t="str">
        <x:v>TEMPORAL_ANNOTATION</x:v>
      </x:c>
      <x:c r="L48" s="1" t="str">
        <x:v>PASS_TO_NEXT</x:v>
      </x:c>
      <x:c r="M48" s="1" t="str">
        <x:v>PARTIAL_PASS</x:v>
      </x:c>
      <x:c r="N48" s="11" t="n">
        <x:v>2.07</x:v>
      </x:c>
      <x:c r="O48" s="1" t="str">
        <x:v>/nas/input/SES-20250314-04/20250314_04_B3</x:v>
      </x:c>
      <x:c r="P48" s="1" t="str">
        <x:v>/nas/output/SES-20250314-04/20250314_04_B3</x:v>
      </x:c>
      <x:c r="Q48" s="12" t="str">
        <x:v>객체 출현/이탈 구간 불명확 또는 프레임 간 불연속 발생</x:v>
      </x:c>
    </x:row>
    <x:row r="49" ht="20" customHeight="1">
      <x:c r="A49" s="1" t="str">
        <x:v>2025-03-14 16:08:00</x:v>
      </x:c>
      <x:c r="B49" s="1" t="str">
        <x:v>QC004</x:v>
      </x:c>
      <x:c r="C49" s="1" t="str">
        <x:v>20250314_04_B4</x:v>
      </x:c>
      <x:c r="D49" s="1" t="str">
        <x:v>SES-20250314-04</x:v>
      </x:c>
      <x:c r="E49" s="1" t="str">
        <x:v>/nas/raw/2025-03-14/QC004/20250314_04_B4</x:v>
      </x:c>
      <x:c r="F49" s="1" t="str">
        <x:v>0-10m</x:v>
      </x:c>
      <x:c r="G49" s="1" t="str">
        <x:v>day_clear</x:v>
      </x:c>
      <x:c r="H49" s="9" t="n">
        <x:v>1895</x:v>
      </x:c>
      <x:c r="I49" s="9" t="n">
        <x:v>1048</x:v>
      </x:c>
      <x:c r="J49" s="9" t="n">
        <x:v>847</x:v>
      </x:c>
      <x:c r="K49" s="1" t="str">
        <x:v>LOW_VISIBILITY</x:v>
      </x:c>
      <x:c r="L49" s="1" t="str">
        <x:v>REVIEW_COMPLETE</x:v>
      </x:c>
      <x:c r="M49" s="1" t="str">
        <x:v>PARTIAL_PASS</x:v>
      </x:c>
      <x:c r="N49" s="11" t="n">
        <x:v>2</x:v>
      </x:c>
      <x:c r="O49" s="1" t="str">
        <x:v>/nas/input/SES-20250314-04/20250314_04_B4</x:v>
      </x:c>
      <x:c r="P49" s="1" t="str">
        <x:v>/nas/output/SES-20250314-04/20250314_04_B4</x:v>
      </x:c>
      <x:c r="Q49" s="12" t="str">
        <x:v>흐림/가림 프레임 다수</x:v>
      </x:c>
    </x:row>
  </x:sheetData>
  <x:pageMargins left="0.7" right="0.7" top="0.75" bottom="0.75" header="0.3" footer="0.3"/>
  <x:tableParts count="1">
    <x:tablePart xmlns:r="http://schemas.openxmlformats.org/officeDocument/2006/relationships" r:id="Rffa9b1b987a448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10000610351562" hidden="0" customWidth="1"/>
    <x:col min="2" max="2" width="15.670000076293945" hidden="0" customWidth="1"/>
    <x:col min="3" max="3" width="55" hidden="0" customWidth="1"/>
  </x:cols>
  <x:sheetData>
    <x:row r="1" ht="28" customHeight="1">
      <x:c r="A1" s="5" t="str">
        <x:v>drop_code</x:v>
      </x:c>
      <x:c r="B1" s="6" t="str">
        <x:v>category</x:v>
      </x:c>
      <x:c r="C1" s="7" t="str">
        <x:v>definition</x:v>
      </x:c>
    </x:row>
    <x:row r="2" ht="20" customHeight="1">
      <x:c r="A2" s="1" t="str">
        <x:v>FOLDER_STRUCTURE</x:v>
      </x:c>
      <x:c r="B2" s="1" t="str">
        <x:v>folder_structure</x:v>
      </x:c>
      <x:c r="C2" s="1" t="str">
        <x:v>폴더 계층, 파일 배치 또는 산출물 규칙 불일치</x:v>
      </x:c>
    </x:row>
    <x:row r="3" ht="20" customHeight="1">
      <x:c r="A3" s="1" t="str">
        <x:v>TEMPORAL_ANNOTATION</x:v>
      </x:c>
      <x:c r="B3" s="1" t="str">
        <x:v>temporal_annotation</x:v>
      </x:c>
      <x:c r="C3" s="1" t="str">
        <x:v>객체 시작·종료 시점, 프레임 구간 또는 시계열 연속성 오류</x:v>
      </x:c>
    </x:row>
    <x:row r="4" ht="20" customHeight="1">
      <x:c r="A4" s="1" t="str">
        <x:v>DUPLICATE_CORRUPT</x:v>
      </x:c>
      <x:c r="B4" s="1" t="str">
        <x:v>duplicate_corrupt</x:v>
      </x:c>
      <x:c r="C4" s="1" t="str">
        <x:v>중복 파일, 손상 파일, 0KB 또는 읽기 오류</x:v>
      </x:c>
    </x:row>
    <x:row r="5" ht="20" customHeight="1">
      <x:c r="A5" s="1" t="str">
        <x:v>LOW_VISIBILITY</x:v>
      </x:c>
      <x:c r="B5" s="1" t="str">
        <x:v>low_visibility</x:v>
      </x:c>
      <x:c r="C5" s="1" t="str">
        <x:v>블러, 과다 노출, 가림 또는 식별 불가 프레임</x:v>
      </x:c>
    </x:row>
    <x:row r="6" ht="20" customHeight="1">
      <x:c r="A6" s="1" t="str">
        <x:v>IMAGE_CONTENT_AMBIGUITY</x:v>
      </x:c>
      <x:c r="B6" s="1" t="str">
        <x:v>image_content_ambiguity</x:v>
      </x:c>
      <x:c r="C6" s="1" t="str">
        <x:v>클래스 라벨 정확도 등 라벨링 기준 부적합 이미지</x:v>
      </x:c>
    </x:row>
    <x:row r="7" ht="20" customHeight="1">
      <x:c r="A7" s="1" t="str">
        <x:v>METADATA_MISMATCH</x:v>
      </x:c>
      <x:c r="B7" s="1" t="str">
        <x:v>metadata_mismatch</x:v>
      </x:c>
      <x:c r="C7" s="1" t="str">
        <x:v>거리, 환경 또는 클래스 메타데이터와 실제 이미지 불일치</x:v>
      </x:c>
    </x:row>
    <x:row r="8" ht="20" customHeight="1">
      <x:c r="A8" s="1" t="str">
        <x:v>OTHER_MANUAL</x:v>
      </x:c>
      <x:c r="B8" s="1" t="str">
        <x:v>other_manual</x:v>
      </x:c>
      <x:c r="C8" s="1" t="str">
        <x:v>상세 사유가 분리되지 않은 기타 수동 검토 드롭</x:v>
      </x:c>
    </x:row>
  </x:sheetData>
  <x:pageMargins left="0.7" right="0.7" top="0.75" bottom="0.75" header="0.3" footer="0.3"/>
  <x:tableParts count="1">
    <x:tablePart xmlns:r="http://schemas.openxmlformats.org/officeDocument/2006/relationships" r:id="Rca9f634bb7c04c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70000076293945" hidden="0" customWidth="1"/>
    <x:col min="2" max="2" width="6.110000133514404" hidden="0" customWidth="1"/>
    <x:col min="3" max="3" width="5.440000057220459" hidden="0" customWidth="1"/>
    <x:col min="4" max="4" width="34" hidden="0" customWidth="1"/>
  </x:cols>
  <x:sheetData>
    <x:row r="1" ht="28" customHeight="1">
      <x:c r="A1" s="5" t="str">
        <x:v>metric</x:v>
      </x:c>
      <x:c r="B1" s="6" t="str">
        <x:v>value</x:v>
      </x:c>
      <x:c r="C1" s="6" t="str">
        <x:v>unit</x:v>
      </x:c>
      <x:c r="D1" s="7" t="str">
        <x:v>calculation</x:v>
      </x:c>
    </x:row>
    <x:row r="2" ht="20" customHeight="1">
      <x:c r="A2" s="1" t="str">
        <x:v>total_reviewed_images</x:v>
      </x:c>
      <x:c r="B2" s="9" t="n">
        <x:f>SUM('Daily Summary'!$D$2:$D$13)</x:f>
        <x:v>95510</x:v>
      </x:c>
      <x:c r="C2" s="1" t="str">
        <x:v>images</x:v>
      </x:c>
      <x:c r="D2" s="1" t="str">
        <x:v>SUM reviewed_images</x:v>
      </x:c>
    </x:row>
    <x:row r="3" ht="20" customHeight="1">
      <x:c r="A3" s="1" t="str">
        <x:v>total_accepted_images</x:v>
      </x:c>
      <x:c r="B3" s="9" t="n">
        <x:f>SUM('Daily Summary'!$E$2:$E$13)</x:f>
        <x:v>54168</x:v>
      </x:c>
      <x:c r="C3" s="1" t="str">
        <x:v>images</x:v>
      </x:c>
      <x:c r="D3" s="1" t="str">
        <x:v>SUM accepted_images</x:v>
      </x:c>
    </x:row>
    <x:row r="4" ht="20" customHeight="1">
      <x:c r="A4" s="1" t="str">
        <x:v>total_dropped_images</x:v>
      </x:c>
      <x:c r="B4" s="9" t="n">
        <x:f>SUM('Daily Summary'!$F$2:$F$13)</x:f>
        <x:v>41342</x:v>
      </x:c>
      <x:c r="C4" s="1" t="str">
        <x:v>images</x:v>
      </x:c>
      <x:c r="D4" s="1" t="str">
        <x:v>SUM dropped_images</x:v>
      </x:c>
    </x:row>
    <x:row r="5" ht="20" customHeight="1">
      <x:c r="A5" s="1" t="str">
        <x:v>overall_drop_rate</x:v>
      </x:c>
      <x:c r="B5" s="10" t="n">
        <x:f>B4/B2</x:f>
        <x:v>0.4328551984085436</x:v>
      </x:c>
      <x:c r="C5" s="1" t="str">
        <x:v>ratio</x:v>
      </x:c>
      <x:c r="D5" s="1" t="str">
        <x:v>dropped / reviewed</x:v>
      </x:c>
    </x:row>
    <x:row r="6" ht="20" customHeight="1">
      <x:c r="A6" s="1" t="str">
        <x:v>avg_daily_reviewed_per_worker</x:v>
      </x:c>
      <x:c r="B6" s="9" t="n">
        <x:f>B2/ROWS('Daily Summary'!$A$2:$A$13)</x:f>
        <x:v>7959.166666666667</x:v>
      </x:c>
      <x:c r="C6" s="1" t="str">
        <x:v>images</x:v>
      </x:c>
      <x:c r="D6" s="1" t="str">
        <x:v>reviewed / worker-day rows</x:v>
      </x:c>
    </x:row>
    <x:row r="7" ht="20" customHeight="1">
      <x:c r="A7" s="1" t="str">
        <x:v>weighted_avg_qc_sec</x:v>
      </x:c>
      <x:c r="B7" s="11" t="n">
        <x:f>SUMPRODUCT('Action Log'!$H$2:$H$49,'Action Log'!$N$2:$N$49)/SUM('Action Log'!$H$2:$H$49)</x:f>
        <x:v>1.729894670715108</x:v>
      </x:c>
      <x:c r="C7" s="1" t="str">
        <x:v>seconds</x:v>
      </x:c>
      <x:c r="D7" s="1" t="str">
        <x:v>batch-volume weighted average</x:v>
      </x:c>
    </x:row>
    <x:row r="8" ht="20" customHeight="1">
      <x:c r="A8" s="1" t="str">
        <x:v>folder_structure_share_of_drops</x:v>
      </x:c>
      <x:c r="B8" s="10" t="n">
        <x:f>SUM('Daily Summary'!$H$2:$H$13)/B4</x:f>
        <x:v>0.42982922935513523</x:v>
      </x:c>
      <x:c r="C8" s="1" t="str">
        <x:v>ratio</x:v>
      </x:c>
      <x:c r="D8" s="1" t="str">
        <x:v>folder_structure / dropped</x:v>
      </x:c>
    </x:row>
    <x:row r="9" ht="20" customHeight="1">
      <x:c r="A9" s="1" t="str">
        <x:v>temporal_annotation_share_of_drops</x:v>
      </x:c>
      <x:c r="B9" s="10" t="n">
        <x:f>SUM('Daily Summary'!$I$2:$I$13)/B4</x:f>
        <x:v>0.30985438537080934</x:v>
      </x:c>
      <x:c r="C9" s="1" t="str">
        <x:v>ratio</x:v>
      </x:c>
      <x:c r="D9" s="1" t="str">
        <x:v>temporal_annotation / dropped</x:v>
      </x:c>
    </x:row>
    <x:row r="10" ht="20" customHeight="1">
      <x:c r="A10" s="1" t="str">
        <x:v>duplicate_corrupt_share_of_drops</x:v>
      </x:c>
      <x:c r="B10" s="10" t="n">
        <x:f>SUM('Daily Summary'!$J$2:$J$13)/B4</x:f>
        <x:v>0.08983600212858595</x:v>
      </x:c>
      <x:c r="C10" s="1" t="str">
        <x:v>ratio</x:v>
      </x:c>
      <x:c r="D10" s="1" t="str">
        <x:v>duplicate_corrupt / dropped</x:v>
      </x:c>
    </x:row>
    <x:row r="11" ht="20" customHeight="1">
      <x:c r="A11" s="1" t="str">
        <x:v>low_visibility_share_of_drops</x:v>
      </x:c>
      <x:c r="B11" s="10" t="n">
        <x:f>SUM('Daily Summary'!$K$2:$K$13)/B4</x:f>
        <x:v>0.0798219728121523</x:v>
      </x:c>
      <x:c r="C11" s="1" t="str">
        <x:v>ratio</x:v>
      </x:c>
      <x:c r="D11" s="1" t="str">
        <x:v>low_visibility / dropped</x:v>
      </x:c>
    </x:row>
    <x:row r="12" ht="20" customHeight="1">
      <x:c r="A12" s="1" t="str">
        <x:v>image_content_ambiguity_share_of_drops</x:v>
      </x:c>
      <x:c r="B12" s="10" t="n">
        <x:f>SUM('Daily Summary'!$L$2:$L$13)/B4</x:f>
        <x:v>0.03079193072420299</x:v>
      </x:c>
      <x:c r="C12" s="1" t="str">
        <x:v>ratio</x:v>
      </x:c>
      <x:c r="D12" s="1" t="str">
        <x:v>image_content_ambiguity / dropped</x:v>
      </x:c>
    </x:row>
    <x:row r="13" ht="20" customHeight="1">
      <x:c r="A13" s="1" t="str">
        <x:v>other_manual_share_of_drops</x:v>
      </x:c>
      <x:c r="B13" s="10" t="n">
        <x:f>SUM('Daily Summary'!$M$2:$M$13)/B4</x:f>
        <x:v>0.05986647960911422</x:v>
      </x:c>
      <x:c r="C13" s="1" t="str">
        <x:v>ratio</x:v>
      </x:c>
      <x:c r="D13" s="1" t="str">
        <x:v>other_manual / dropped</x:v>
      </x:c>
    </x:row>
  </x:sheetData>
  <x:pageMargins left="0.7" right="0.7" top="0.75" bottom="0.75" header="0.3" footer="0.3"/>
  <x:tableParts count="1">
    <x:tablePart xmlns:r="http://schemas.openxmlformats.org/officeDocument/2006/relationships" r:id="Rc7212e2b98ec4543"/>
  </x:tableParts>
</x:worksheet>
</file>